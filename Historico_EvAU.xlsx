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7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8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9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1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2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3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4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5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6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7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8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9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gme\OneDrive\Documentos\Programación\python\Historico_EVAU\"/>
    </mc:Choice>
  </mc:AlternateContent>
  <xr:revisionPtr revIDLastSave="0" documentId="13_ncr:1_{DB48AE83-3D5A-4A3F-A1AF-716C4BA1C2E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or año" sheetId="1" r:id="rId1"/>
    <sheet name="Otros Coles" sheetId="2" r:id="rId2"/>
    <sheet name="Titulan" sheetId="3" r:id="rId3"/>
    <sheet name="Fase General" sheetId="4" r:id="rId4"/>
    <sheet name="Lengua" sheetId="5" r:id="rId5"/>
    <sheet name="Inglés" sheetId="6" r:id="rId6"/>
    <sheet name="Historia" sheetId="7" r:id="rId7"/>
    <sheet name="Mate II" sheetId="8" r:id="rId8"/>
    <sheet name="Mate CCSS II" sheetId="9" r:id="rId9"/>
    <sheet name="Física" sheetId="10" r:id="rId10"/>
    <sheet name="Química" sheetId="11" r:id="rId11"/>
    <sheet name="Biología" sheetId="12" r:id="rId12"/>
    <sheet name="Dibujo Técnico" sheetId="13" r:id="rId13"/>
    <sheet name="Economía" sheetId="14" r:id="rId14"/>
    <sheet name="Filosofía" sheetId="15" r:id="rId15"/>
    <sheet name="Historia del Arte" sheetId="16" r:id="rId16"/>
    <sheet name="Geografía" sheetId="17" r:id="rId17"/>
    <sheet name="Francés" sheetId="18" r:id="rId18"/>
    <sheet name="Tecno e Ing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G18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J33" i="19"/>
  <c r="I33" i="19"/>
  <c r="H33" i="19"/>
  <c r="F33" i="19"/>
  <c r="E33" i="19"/>
  <c r="C33" i="19"/>
  <c r="B33" i="19"/>
  <c r="A33" i="19"/>
  <c r="J32" i="19"/>
  <c r="I32" i="19"/>
  <c r="H32" i="19"/>
  <c r="F32" i="19"/>
  <c r="E32" i="19"/>
  <c r="C32" i="19"/>
  <c r="B32" i="19"/>
  <c r="A32" i="19"/>
  <c r="J31" i="19"/>
  <c r="I31" i="19"/>
  <c r="H31" i="19"/>
  <c r="F31" i="19"/>
  <c r="E31" i="19"/>
  <c r="C31" i="19"/>
  <c r="B31" i="19"/>
  <c r="A31" i="19"/>
  <c r="J30" i="19"/>
  <c r="I30" i="19"/>
  <c r="H30" i="19"/>
  <c r="F30" i="19"/>
  <c r="E30" i="19"/>
  <c r="C30" i="19"/>
  <c r="B30" i="19"/>
  <c r="A30" i="19"/>
  <c r="J29" i="19"/>
  <c r="I29" i="19"/>
  <c r="H29" i="19"/>
  <c r="F29" i="19"/>
  <c r="E29" i="19"/>
  <c r="C29" i="19"/>
  <c r="B29" i="19"/>
  <c r="A29" i="19"/>
  <c r="J28" i="19"/>
  <c r="I28" i="19"/>
  <c r="H28" i="19"/>
  <c r="F28" i="19"/>
  <c r="E28" i="19"/>
  <c r="C28" i="19"/>
  <c r="B28" i="19"/>
  <c r="A28" i="19"/>
  <c r="J27" i="19"/>
  <c r="I27" i="19"/>
  <c r="H27" i="19"/>
  <c r="F27" i="19"/>
  <c r="E27" i="19"/>
  <c r="C27" i="19"/>
  <c r="B27" i="19"/>
  <c r="A27" i="19"/>
  <c r="J26" i="19"/>
  <c r="I26" i="19"/>
  <c r="H26" i="19"/>
  <c r="F26" i="19"/>
  <c r="E26" i="19"/>
  <c r="C26" i="19"/>
  <c r="B26" i="19"/>
  <c r="A26" i="19"/>
  <c r="J25" i="19"/>
  <c r="I25" i="19"/>
  <c r="H25" i="19"/>
  <c r="F25" i="19"/>
  <c r="E25" i="19"/>
  <c r="C25" i="19"/>
  <c r="B25" i="19"/>
  <c r="A25" i="19"/>
  <c r="J24" i="19"/>
  <c r="I24" i="19"/>
  <c r="H24" i="19"/>
  <c r="F24" i="19"/>
  <c r="E24" i="19"/>
  <c r="C24" i="19"/>
  <c r="B24" i="19"/>
  <c r="A24" i="19"/>
  <c r="J23" i="19"/>
  <c r="I23" i="19"/>
  <c r="H23" i="19"/>
  <c r="F23" i="19"/>
  <c r="E23" i="19"/>
  <c r="C23" i="19"/>
  <c r="B23" i="19"/>
  <c r="A23" i="19"/>
  <c r="J22" i="19"/>
  <c r="I22" i="19"/>
  <c r="H22" i="19"/>
  <c r="F22" i="19"/>
  <c r="E22" i="19"/>
  <c r="C22" i="19"/>
  <c r="B22" i="19"/>
  <c r="A22" i="19"/>
  <c r="J21" i="19"/>
  <c r="I21" i="19"/>
  <c r="H21" i="19"/>
  <c r="F21" i="19"/>
  <c r="E21" i="19"/>
  <c r="C21" i="19"/>
  <c r="B21" i="19"/>
  <c r="A21" i="19"/>
  <c r="J20" i="19"/>
  <c r="I20" i="19"/>
  <c r="H20" i="19"/>
  <c r="F20" i="19"/>
  <c r="E20" i="19"/>
  <c r="C20" i="19"/>
  <c r="B20" i="19"/>
  <c r="A20" i="19"/>
  <c r="J19" i="19"/>
  <c r="I19" i="19"/>
  <c r="H19" i="19"/>
  <c r="F19" i="19"/>
  <c r="E19" i="19"/>
  <c r="C19" i="19"/>
  <c r="B19" i="19"/>
  <c r="A19" i="19"/>
  <c r="J18" i="19"/>
  <c r="I18" i="19"/>
  <c r="H18" i="19"/>
  <c r="F18" i="19"/>
  <c r="E18" i="19"/>
  <c r="C18" i="19"/>
  <c r="B18" i="19"/>
  <c r="A18" i="19"/>
  <c r="J17" i="19"/>
  <c r="I17" i="19"/>
  <c r="H17" i="19"/>
  <c r="F17" i="19"/>
  <c r="E17" i="19"/>
  <c r="C17" i="19"/>
  <c r="B17" i="19"/>
  <c r="A17" i="19"/>
  <c r="J16" i="19"/>
  <c r="I2" i="19"/>
  <c r="H2" i="19"/>
  <c r="G2" i="19"/>
  <c r="F2" i="19"/>
  <c r="E2" i="19"/>
  <c r="C2" i="19"/>
  <c r="D2" i="19" s="1"/>
  <c r="B2" i="19"/>
  <c r="A2" i="19"/>
  <c r="J1" i="19"/>
  <c r="I1" i="19"/>
  <c r="H1" i="19"/>
  <c r="G1" i="19"/>
  <c r="F1" i="19"/>
  <c r="E1" i="19"/>
  <c r="C1" i="19"/>
  <c r="B1" i="19"/>
  <c r="A1" i="19"/>
  <c r="J33" i="18"/>
  <c r="I33" i="18"/>
  <c r="H33" i="18"/>
  <c r="F33" i="18"/>
  <c r="E33" i="18"/>
  <c r="C33" i="18"/>
  <c r="B33" i="18"/>
  <c r="A33" i="18"/>
  <c r="J32" i="18"/>
  <c r="I32" i="18"/>
  <c r="H32" i="18"/>
  <c r="F32" i="18"/>
  <c r="E32" i="18"/>
  <c r="C32" i="18"/>
  <c r="B32" i="18"/>
  <c r="A32" i="18"/>
  <c r="J31" i="18"/>
  <c r="I31" i="18"/>
  <c r="H31" i="18"/>
  <c r="F31" i="18"/>
  <c r="E31" i="18"/>
  <c r="C31" i="18"/>
  <c r="B31" i="18"/>
  <c r="A31" i="18"/>
  <c r="J30" i="18"/>
  <c r="I30" i="18"/>
  <c r="H30" i="18"/>
  <c r="F30" i="18"/>
  <c r="E30" i="18"/>
  <c r="C30" i="18"/>
  <c r="B30" i="18"/>
  <c r="A30" i="18"/>
  <c r="J29" i="18"/>
  <c r="I29" i="18"/>
  <c r="H29" i="18"/>
  <c r="F29" i="18"/>
  <c r="E29" i="18"/>
  <c r="C29" i="18"/>
  <c r="B29" i="18"/>
  <c r="A29" i="18"/>
  <c r="J28" i="18"/>
  <c r="I28" i="18"/>
  <c r="H28" i="18"/>
  <c r="F28" i="18"/>
  <c r="E28" i="18"/>
  <c r="C28" i="18"/>
  <c r="B28" i="18"/>
  <c r="A28" i="18"/>
  <c r="J27" i="18"/>
  <c r="I27" i="18"/>
  <c r="H27" i="18"/>
  <c r="F27" i="18"/>
  <c r="E27" i="18"/>
  <c r="C27" i="18"/>
  <c r="B27" i="18"/>
  <c r="A27" i="18"/>
  <c r="J26" i="18"/>
  <c r="I26" i="18"/>
  <c r="H26" i="18"/>
  <c r="F26" i="18"/>
  <c r="E26" i="18"/>
  <c r="C26" i="18"/>
  <c r="B26" i="18"/>
  <c r="A26" i="18"/>
  <c r="J25" i="18"/>
  <c r="I25" i="18"/>
  <c r="H25" i="18"/>
  <c r="F25" i="18"/>
  <c r="E25" i="18"/>
  <c r="C25" i="18"/>
  <c r="B25" i="18"/>
  <c r="A25" i="18"/>
  <c r="J24" i="18"/>
  <c r="I24" i="18"/>
  <c r="H24" i="18"/>
  <c r="F24" i="18"/>
  <c r="E24" i="18"/>
  <c r="C24" i="18"/>
  <c r="B24" i="18"/>
  <c r="A24" i="18"/>
  <c r="J23" i="18"/>
  <c r="I23" i="18"/>
  <c r="H23" i="18"/>
  <c r="F23" i="18"/>
  <c r="E23" i="18"/>
  <c r="C23" i="18"/>
  <c r="B23" i="18"/>
  <c r="A23" i="18"/>
  <c r="J22" i="18"/>
  <c r="I22" i="18"/>
  <c r="H22" i="18"/>
  <c r="F22" i="18"/>
  <c r="E22" i="18"/>
  <c r="C22" i="18"/>
  <c r="B22" i="18"/>
  <c r="A22" i="18"/>
  <c r="J21" i="18"/>
  <c r="I21" i="18"/>
  <c r="H21" i="18"/>
  <c r="F21" i="18"/>
  <c r="E21" i="18"/>
  <c r="C21" i="18"/>
  <c r="B21" i="18"/>
  <c r="A21" i="18"/>
  <c r="J20" i="18"/>
  <c r="I20" i="18"/>
  <c r="H20" i="18"/>
  <c r="F20" i="18"/>
  <c r="E20" i="18"/>
  <c r="C20" i="18"/>
  <c r="B20" i="18"/>
  <c r="A20" i="18"/>
  <c r="J19" i="18"/>
  <c r="I19" i="18"/>
  <c r="H19" i="18"/>
  <c r="F19" i="18"/>
  <c r="E19" i="18"/>
  <c r="C19" i="18"/>
  <c r="B19" i="18"/>
  <c r="A19" i="18"/>
  <c r="J18" i="18"/>
  <c r="I18" i="18"/>
  <c r="H18" i="18"/>
  <c r="F18" i="18"/>
  <c r="E18" i="18"/>
  <c r="C18" i="18"/>
  <c r="B18" i="18"/>
  <c r="A18" i="18"/>
  <c r="J17" i="18"/>
  <c r="I17" i="18"/>
  <c r="H17" i="18"/>
  <c r="F17" i="18"/>
  <c r="E17" i="18"/>
  <c r="C17" i="18"/>
  <c r="B17" i="18"/>
  <c r="A17" i="18"/>
  <c r="J16" i="18"/>
  <c r="I10" i="18"/>
  <c r="H10" i="18"/>
  <c r="G10" i="18"/>
  <c r="F10" i="18"/>
  <c r="E10" i="18"/>
  <c r="C10" i="18"/>
  <c r="D10" i="18" s="1"/>
  <c r="B10" i="18"/>
  <c r="A10" i="18"/>
  <c r="I9" i="18"/>
  <c r="H9" i="18"/>
  <c r="G9" i="18"/>
  <c r="F9" i="18"/>
  <c r="E9" i="18"/>
  <c r="C9" i="18"/>
  <c r="B9" i="18"/>
  <c r="A9" i="18"/>
  <c r="D9" i="18" s="1"/>
  <c r="I8" i="18"/>
  <c r="H8" i="18"/>
  <c r="G8" i="18"/>
  <c r="F8" i="18"/>
  <c r="E8" i="18"/>
  <c r="D8" i="18"/>
  <c r="C8" i="18"/>
  <c r="B8" i="18"/>
  <c r="A8" i="18"/>
  <c r="I7" i="18"/>
  <c r="H7" i="18"/>
  <c r="G7" i="18"/>
  <c r="F7" i="18"/>
  <c r="E7" i="18"/>
  <c r="C7" i="18"/>
  <c r="B7" i="18"/>
  <c r="A7" i="18"/>
  <c r="I6" i="18"/>
  <c r="H6" i="18"/>
  <c r="G6" i="18"/>
  <c r="F6" i="18"/>
  <c r="E6" i="18"/>
  <c r="D6" i="18"/>
  <c r="C6" i="18"/>
  <c r="B6" i="18"/>
  <c r="A6" i="18"/>
  <c r="I5" i="18"/>
  <c r="H5" i="18"/>
  <c r="G5" i="18"/>
  <c r="F5" i="18"/>
  <c r="E5" i="18"/>
  <c r="C5" i="18"/>
  <c r="B5" i="18"/>
  <c r="A5" i="18"/>
  <c r="I4" i="18"/>
  <c r="H4" i="18"/>
  <c r="G4" i="18"/>
  <c r="F4" i="18"/>
  <c r="E4" i="18"/>
  <c r="C4" i="18"/>
  <c r="B4" i="18"/>
  <c r="A4" i="18"/>
  <c r="D4" i="18" s="1"/>
  <c r="I3" i="18"/>
  <c r="H3" i="18"/>
  <c r="G3" i="18"/>
  <c r="F3" i="18"/>
  <c r="E3" i="18"/>
  <c r="C3" i="18"/>
  <c r="B3" i="18"/>
  <c r="A3" i="18"/>
  <c r="D3" i="18" s="1"/>
  <c r="J1" i="18"/>
  <c r="I1" i="18"/>
  <c r="H1" i="18"/>
  <c r="G1" i="18"/>
  <c r="F1" i="18"/>
  <c r="E1" i="18"/>
  <c r="C1" i="18"/>
  <c r="B1" i="18"/>
  <c r="A1" i="18"/>
  <c r="J31" i="17"/>
  <c r="I31" i="17"/>
  <c r="H31" i="17"/>
  <c r="F31" i="17"/>
  <c r="E31" i="17"/>
  <c r="C31" i="17"/>
  <c r="B31" i="17"/>
  <c r="A31" i="17"/>
  <c r="J30" i="17"/>
  <c r="I30" i="17"/>
  <c r="H30" i="17"/>
  <c r="F30" i="17"/>
  <c r="E30" i="17"/>
  <c r="C30" i="17"/>
  <c r="B30" i="17"/>
  <c r="A30" i="17"/>
  <c r="J29" i="17"/>
  <c r="I29" i="17"/>
  <c r="H29" i="17"/>
  <c r="F29" i="17"/>
  <c r="E29" i="17"/>
  <c r="C29" i="17"/>
  <c r="B29" i="17"/>
  <c r="A29" i="17"/>
  <c r="J28" i="17"/>
  <c r="I28" i="17"/>
  <c r="H28" i="17"/>
  <c r="F28" i="17"/>
  <c r="E28" i="17"/>
  <c r="C28" i="17"/>
  <c r="B28" i="17"/>
  <c r="A28" i="17"/>
  <c r="J27" i="17"/>
  <c r="I27" i="17"/>
  <c r="H27" i="17"/>
  <c r="F27" i="17"/>
  <c r="E27" i="17"/>
  <c r="C27" i="17"/>
  <c r="B27" i="17"/>
  <c r="A27" i="17"/>
  <c r="J26" i="17"/>
  <c r="I26" i="17"/>
  <c r="H26" i="17"/>
  <c r="F26" i="17"/>
  <c r="E26" i="17"/>
  <c r="C26" i="17"/>
  <c r="B26" i="17"/>
  <c r="A26" i="17"/>
  <c r="J25" i="17"/>
  <c r="I25" i="17"/>
  <c r="H25" i="17"/>
  <c r="F25" i="17"/>
  <c r="E25" i="17"/>
  <c r="C25" i="17"/>
  <c r="B25" i="17"/>
  <c r="A25" i="17"/>
  <c r="J24" i="17"/>
  <c r="I24" i="17"/>
  <c r="H24" i="17"/>
  <c r="F24" i="17"/>
  <c r="E24" i="17"/>
  <c r="C24" i="17"/>
  <c r="B24" i="17"/>
  <c r="A24" i="17"/>
  <c r="J23" i="17"/>
  <c r="I23" i="17"/>
  <c r="H23" i="17"/>
  <c r="F23" i="17"/>
  <c r="E23" i="17"/>
  <c r="C23" i="17"/>
  <c r="B23" i="17"/>
  <c r="A23" i="17"/>
  <c r="J22" i="17"/>
  <c r="I22" i="17"/>
  <c r="H22" i="17"/>
  <c r="F22" i="17"/>
  <c r="E22" i="17"/>
  <c r="C22" i="17"/>
  <c r="B22" i="17"/>
  <c r="A22" i="17"/>
  <c r="J21" i="17"/>
  <c r="I21" i="17"/>
  <c r="H21" i="17"/>
  <c r="F21" i="17"/>
  <c r="E21" i="17"/>
  <c r="C21" i="17"/>
  <c r="B21" i="17"/>
  <c r="A21" i="17"/>
  <c r="J20" i="17"/>
  <c r="I20" i="17"/>
  <c r="H20" i="17"/>
  <c r="F20" i="17"/>
  <c r="E20" i="17"/>
  <c r="C20" i="17"/>
  <c r="B20" i="17"/>
  <c r="A20" i="17"/>
  <c r="J19" i="17"/>
  <c r="I19" i="17"/>
  <c r="H19" i="17"/>
  <c r="F19" i="17"/>
  <c r="E19" i="17"/>
  <c r="C19" i="17"/>
  <c r="B19" i="17"/>
  <c r="A19" i="17"/>
  <c r="J18" i="17"/>
  <c r="I18" i="17"/>
  <c r="H18" i="17"/>
  <c r="F18" i="17"/>
  <c r="E18" i="17"/>
  <c r="C18" i="17"/>
  <c r="B18" i="17"/>
  <c r="A18" i="17"/>
  <c r="J17" i="17"/>
  <c r="I17" i="17"/>
  <c r="H17" i="17"/>
  <c r="F17" i="17"/>
  <c r="E17" i="17"/>
  <c r="C17" i="17"/>
  <c r="B17" i="17"/>
  <c r="A17" i="17"/>
  <c r="J16" i="17"/>
  <c r="I16" i="17"/>
  <c r="H16" i="17"/>
  <c r="F16" i="17"/>
  <c r="E16" i="17"/>
  <c r="C16" i="17"/>
  <c r="B16" i="17"/>
  <c r="A16" i="17"/>
  <c r="J15" i="17"/>
  <c r="I15" i="17"/>
  <c r="H15" i="17"/>
  <c r="F15" i="17"/>
  <c r="E15" i="17"/>
  <c r="C15" i="17"/>
  <c r="B15" i="17"/>
  <c r="A15" i="17"/>
  <c r="J14" i="17"/>
  <c r="I10" i="17"/>
  <c r="H10" i="17"/>
  <c r="G10" i="17"/>
  <c r="F10" i="17"/>
  <c r="E10" i="17"/>
  <c r="C10" i="17"/>
  <c r="B10" i="17"/>
  <c r="A10" i="17"/>
  <c r="D10" i="17" s="1"/>
  <c r="I9" i="17"/>
  <c r="H9" i="17"/>
  <c r="G9" i="17"/>
  <c r="F9" i="17"/>
  <c r="E9" i="17"/>
  <c r="C9" i="17"/>
  <c r="B9" i="17"/>
  <c r="A9" i="17"/>
  <c r="D9" i="17" s="1"/>
  <c r="I8" i="17"/>
  <c r="H8" i="17"/>
  <c r="G8" i="17"/>
  <c r="F8" i="17"/>
  <c r="E8" i="17"/>
  <c r="C8" i="17"/>
  <c r="B8" i="17"/>
  <c r="A8" i="17"/>
  <c r="D8" i="17" s="1"/>
  <c r="I7" i="17"/>
  <c r="H7" i="17"/>
  <c r="G7" i="17"/>
  <c r="F7" i="17"/>
  <c r="E7" i="17"/>
  <c r="C7" i="17"/>
  <c r="D7" i="17" s="1"/>
  <c r="B7" i="17"/>
  <c r="A7" i="17"/>
  <c r="I6" i="17"/>
  <c r="H6" i="17"/>
  <c r="G6" i="17"/>
  <c r="F6" i="17"/>
  <c r="E6" i="17"/>
  <c r="C6" i="17"/>
  <c r="B6" i="17"/>
  <c r="A6" i="17"/>
  <c r="D6" i="17" s="1"/>
  <c r="I5" i="17"/>
  <c r="H5" i="17"/>
  <c r="G5" i="17"/>
  <c r="F5" i="17"/>
  <c r="E5" i="17"/>
  <c r="C5" i="17"/>
  <c r="B5" i="17"/>
  <c r="A5" i="17"/>
  <c r="I4" i="17"/>
  <c r="H4" i="17"/>
  <c r="G4" i="17"/>
  <c r="F4" i="17"/>
  <c r="E4" i="17"/>
  <c r="C4" i="17"/>
  <c r="B4" i="17"/>
  <c r="A4" i="17"/>
  <c r="D4" i="17" s="1"/>
  <c r="I3" i="17"/>
  <c r="H3" i="17"/>
  <c r="G3" i="17"/>
  <c r="F3" i="17"/>
  <c r="E3" i="17"/>
  <c r="C3" i="17"/>
  <c r="B3" i="17"/>
  <c r="A3" i="17"/>
  <c r="I2" i="17"/>
  <c r="H2" i="17"/>
  <c r="G2" i="17"/>
  <c r="F2" i="17"/>
  <c r="E2" i="17"/>
  <c r="C2" i="17"/>
  <c r="D2" i="17" s="1"/>
  <c r="B2" i="17"/>
  <c r="A2" i="17"/>
  <c r="J1" i="17"/>
  <c r="I1" i="17"/>
  <c r="H1" i="17"/>
  <c r="G1" i="17"/>
  <c r="F1" i="17"/>
  <c r="E1" i="17"/>
  <c r="C1" i="17"/>
  <c r="B1" i="17"/>
  <c r="A1" i="17"/>
  <c r="J29" i="16"/>
  <c r="I29" i="16"/>
  <c r="H29" i="16"/>
  <c r="F29" i="16"/>
  <c r="E29" i="16"/>
  <c r="C29" i="16"/>
  <c r="B29" i="16"/>
  <c r="A29" i="16"/>
  <c r="J28" i="16"/>
  <c r="I28" i="16"/>
  <c r="H28" i="16"/>
  <c r="F28" i="16"/>
  <c r="E28" i="16"/>
  <c r="C28" i="16"/>
  <c r="B28" i="16"/>
  <c r="A28" i="16"/>
  <c r="J27" i="16"/>
  <c r="I27" i="16"/>
  <c r="H27" i="16"/>
  <c r="F27" i="16"/>
  <c r="E27" i="16"/>
  <c r="C27" i="16"/>
  <c r="B27" i="16"/>
  <c r="A27" i="16"/>
  <c r="J26" i="16"/>
  <c r="I26" i="16"/>
  <c r="H26" i="16"/>
  <c r="F26" i="16"/>
  <c r="E26" i="16"/>
  <c r="C26" i="16"/>
  <c r="B26" i="16"/>
  <c r="A26" i="16"/>
  <c r="J25" i="16"/>
  <c r="I25" i="16"/>
  <c r="H25" i="16"/>
  <c r="F25" i="16"/>
  <c r="E25" i="16"/>
  <c r="C25" i="16"/>
  <c r="B25" i="16"/>
  <c r="A25" i="16"/>
  <c r="J24" i="16"/>
  <c r="I24" i="16"/>
  <c r="H24" i="16"/>
  <c r="F24" i="16"/>
  <c r="E24" i="16"/>
  <c r="C24" i="16"/>
  <c r="B24" i="16"/>
  <c r="A24" i="16"/>
  <c r="J23" i="16"/>
  <c r="I23" i="16"/>
  <c r="H23" i="16"/>
  <c r="F23" i="16"/>
  <c r="E23" i="16"/>
  <c r="C23" i="16"/>
  <c r="B23" i="16"/>
  <c r="A23" i="16"/>
  <c r="J22" i="16"/>
  <c r="I22" i="16"/>
  <c r="H22" i="16"/>
  <c r="F22" i="16"/>
  <c r="E22" i="16"/>
  <c r="C22" i="16"/>
  <c r="B22" i="16"/>
  <c r="A22" i="16"/>
  <c r="J21" i="16"/>
  <c r="I21" i="16"/>
  <c r="H21" i="16"/>
  <c r="F21" i="16"/>
  <c r="E21" i="16"/>
  <c r="C21" i="16"/>
  <c r="B21" i="16"/>
  <c r="A21" i="16"/>
  <c r="J20" i="16"/>
  <c r="I20" i="16"/>
  <c r="H20" i="16"/>
  <c r="F20" i="16"/>
  <c r="E20" i="16"/>
  <c r="C20" i="16"/>
  <c r="B20" i="16"/>
  <c r="A20" i="16"/>
  <c r="J19" i="16"/>
  <c r="I19" i="16"/>
  <c r="H19" i="16"/>
  <c r="F19" i="16"/>
  <c r="E19" i="16"/>
  <c r="C19" i="16"/>
  <c r="B19" i="16"/>
  <c r="A19" i="16"/>
  <c r="J18" i="16"/>
  <c r="I18" i="16"/>
  <c r="H18" i="16"/>
  <c r="F18" i="16"/>
  <c r="E18" i="16"/>
  <c r="C18" i="16"/>
  <c r="B18" i="16"/>
  <c r="A18" i="16"/>
  <c r="J17" i="16"/>
  <c r="I17" i="16"/>
  <c r="H17" i="16"/>
  <c r="F17" i="16"/>
  <c r="E17" i="16"/>
  <c r="C17" i="16"/>
  <c r="B17" i="16"/>
  <c r="A17" i="16"/>
  <c r="J16" i="16"/>
  <c r="I16" i="16"/>
  <c r="H16" i="16"/>
  <c r="F16" i="16"/>
  <c r="E16" i="16"/>
  <c r="C16" i="16"/>
  <c r="B16" i="16"/>
  <c r="A16" i="16"/>
  <c r="J15" i="16"/>
  <c r="I15" i="16"/>
  <c r="H15" i="16"/>
  <c r="F15" i="16"/>
  <c r="E15" i="16"/>
  <c r="C15" i="16"/>
  <c r="B15" i="16"/>
  <c r="A15" i="16"/>
  <c r="J14" i="16"/>
  <c r="I14" i="16"/>
  <c r="H14" i="16"/>
  <c r="F14" i="16"/>
  <c r="E14" i="16"/>
  <c r="C14" i="16"/>
  <c r="B14" i="16"/>
  <c r="A14" i="16"/>
  <c r="J13" i="16"/>
  <c r="I13" i="16"/>
  <c r="H13" i="16"/>
  <c r="F13" i="16"/>
  <c r="E13" i="16"/>
  <c r="C13" i="16"/>
  <c r="B13" i="16"/>
  <c r="A13" i="16"/>
  <c r="J12" i="16"/>
  <c r="I10" i="16"/>
  <c r="H10" i="16"/>
  <c r="G10" i="16"/>
  <c r="F10" i="16"/>
  <c r="E10" i="16"/>
  <c r="C10" i="16"/>
  <c r="B10" i="16"/>
  <c r="A10" i="16"/>
  <c r="D10" i="16" s="1"/>
  <c r="I9" i="16"/>
  <c r="H9" i="16"/>
  <c r="G9" i="16"/>
  <c r="F9" i="16"/>
  <c r="E9" i="16"/>
  <c r="C9" i="16"/>
  <c r="D9" i="16" s="1"/>
  <c r="B9" i="16"/>
  <c r="A9" i="16"/>
  <c r="I8" i="16"/>
  <c r="H8" i="16"/>
  <c r="G8" i="16"/>
  <c r="F8" i="16"/>
  <c r="E8" i="16"/>
  <c r="C8" i="16"/>
  <c r="B8" i="16"/>
  <c r="A8" i="16"/>
  <c r="I7" i="16"/>
  <c r="H7" i="16"/>
  <c r="G7" i="16"/>
  <c r="F7" i="16"/>
  <c r="E7" i="16"/>
  <c r="C7" i="16"/>
  <c r="B7" i="16"/>
  <c r="A7" i="16"/>
  <c r="I6" i="16"/>
  <c r="H6" i="16"/>
  <c r="G6" i="16"/>
  <c r="F6" i="16"/>
  <c r="E6" i="16"/>
  <c r="C6" i="16"/>
  <c r="B6" i="16"/>
  <c r="A6" i="16"/>
  <c r="I5" i="16"/>
  <c r="H5" i="16"/>
  <c r="G5" i="16"/>
  <c r="F5" i="16"/>
  <c r="E5" i="16"/>
  <c r="C5" i="16"/>
  <c r="B5" i="16"/>
  <c r="A5" i="16"/>
  <c r="D5" i="16" s="1"/>
  <c r="I4" i="16"/>
  <c r="H4" i="16"/>
  <c r="G4" i="16"/>
  <c r="F4" i="16"/>
  <c r="E4" i="16"/>
  <c r="C4" i="16"/>
  <c r="B4" i="16"/>
  <c r="A4" i="16"/>
  <c r="I3" i="16"/>
  <c r="H3" i="16"/>
  <c r="G3" i="16"/>
  <c r="F3" i="16"/>
  <c r="E3" i="16"/>
  <c r="C3" i="16"/>
  <c r="B3" i="16"/>
  <c r="A3" i="16"/>
  <c r="D3" i="16" s="1"/>
  <c r="I2" i="16"/>
  <c r="H2" i="16"/>
  <c r="G2" i="16"/>
  <c r="F2" i="16"/>
  <c r="E2" i="16"/>
  <c r="C2" i="16"/>
  <c r="B2" i="16"/>
  <c r="A2" i="16"/>
  <c r="J1" i="16"/>
  <c r="I1" i="16"/>
  <c r="H1" i="16"/>
  <c r="G1" i="16"/>
  <c r="F1" i="16"/>
  <c r="E1" i="16"/>
  <c r="C1" i="16"/>
  <c r="B1" i="16"/>
  <c r="A1" i="16"/>
  <c r="J28" i="15"/>
  <c r="I28" i="15"/>
  <c r="H28" i="15"/>
  <c r="F28" i="15"/>
  <c r="E28" i="15"/>
  <c r="C28" i="15"/>
  <c r="B28" i="15"/>
  <c r="A28" i="15"/>
  <c r="J27" i="15"/>
  <c r="I27" i="15"/>
  <c r="H27" i="15"/>
  <c r="F27" i="15"/>
  <c r="E27" i="15"/>
  <c r="C27" i="15"/>
  <c r="B27" i="15"/>
  <c r="A27" i="15"/>
  <c r="J26" i="15"/>
  <c r="I26" i="15"/>
  <c r="H26" i="15"/>
  <c r="F26" i="15"/>
  <c r="E26" i="15"/>
  <c r="C26" i="15"/>
  <c r="B26" i="15"/>
  <c r="A26" i="15"/>
  <c r="J25" i="15"/>
  <c r="I25" i="15"/>
  <c r="H25" i="15"/>
  <c r="F25" i="15"/>
  <c r="E25" i="15"/>
  <c r="C25" i="15"/>
  <c r="B25" i="15"/>
  <c r="A25" i="15"/>
  <c r="J24" i="15"/>
  <c r="I24" i="15"/>
  <c r="H24" i="15"/>
  <c r="F24" i="15"/>
  <c r="E24" i="15"/>
  <c r="C24" i="15"/>
  <c r="B24" i="15"/>
  <c r="A24" i="15"/>
  <c r="J23" i="15"/>
  <c r="I23" i="15"/>
  <c r="H23" i="15"/>
  <c r="F23" i="15"/>
  <c r="E23" i="15"/>
  <c r="C23" i="15"/>
  <c r="B23" i="15"/>
  <c r="A23" i="15"/>
  <c r="J22" i="15"/>
  <c r="I22" i="15"/>
  <c r="H22" i="15"/>
  <c r="F22" i="15"/>
  <c r="E22" i="15"/>
  <c r="C22" i="15"/>
  <c r="B22" i="15"/>
  <c r="A22" i="15"/>
  <c r="J21" i="15"/>
  <c r="I21" i="15"/>
  <c r="H21" i="15"/>
  <c r="F21" i="15"/>
  <c r="E21" i="15"/>
  <c r="C21" i="15"/>
  <c r="B21" i="15"/>
  <c r="A21" i="15"/>
  <c r="J20" i="15"/>
  <c r="I20" i="15"/>
  <c r="H20" i="15"/>
  <c r="F20" i="15"/>
  <c r="E20" i="15"/>
  <c r="C20" i="15"/>
  <c r="B20" i="15"/>
  <c r="A20" i="15"/>
  <c r="J19" i="15"/>
  <c r="I19" i="15"/>
  <c r="H19" i="15"/>
  <c r="F19" i="15"/>
  <c r="E19" i="15"/>
  <c r="C19" i="15"/>
  <c r="B19" i="15"/>
  <c r="A19" i="15"/>
  <c r="J18" i="15"/>
  <c r="I18" i="15"/>
  <c r="H18" i="15"/>
  <c r="F18" i="15"/>
  <c r="E18" i="15"/>
  <c r="C18" i="15"/>
  <c r="B18" i="15"/>
  <c r="A18" i="15"/>
  <c r="J17" i="15"/>
  <c r="I17" i="15"/>
  <c r="H17" i="15"/>
  <c r="F17" i="15"/>
  <c r="E17" i="15"/>
  <c r="C17" i="15"/>
  <c r="B17" i="15"/>
  <c r="A17" i="15"/>
  <c r="J16" i="15"/>
  <c r="I16" i="15"/>
  <c r="H16" i="15"/>
  <c r="F16" i="15"/>
  <c r="E16" i="15"/>
  <c r="C16" i="15"/>
  <c r="B16" i="15"/>
  <c r="A16" i="15"/>
  <c r="J15" i="15"/>
  <c r="I15" i="15"/>
  <c r="H15" i="15"/>
  <c r="F15" i="15"/>
  <c r="E15" i="15"/>
  <c r="C15" i="15"/>
  <c r="B15" i="15"/>
  <c r="A15" i="15"/>
  <c r="J14" i="15"/>
  <c r="I14" i="15"/>
  <c r="H14" i="15"/>
  <c r="F14" i="15"/>
  <c r="E14" i="15"/>
  <c r="C14" i="15"/>
  <c r="B14" i="15"/>
  <c r="A14" i="15"/>
  <c r="J13" i="15"/>
  <c r="I13" i="15"/>
  <c r="H13" i="15"/>
  <c r="F13" i="15"/>
  <c r="E13" i="15"/>
  <c r="C13" i="15"/>
  <c r="B13" i="15"/>
  <c r="A13" i="15"/>
  <c r="J12" i="15"/>
  <c r="I12" i="15"/>
  <c r="H12" i="15"/>
  <c r="F12" i="15"/>
  <c r="E12" i="15"/>
  <c r="C12" i="15"/>
  <c r="B12" i="15"/>
  <c r="A12" i="15"/>
  <c r="J11" i="15"/>
  <c r="I10" i="15"/>
  <c r="H10" i="15"/>
  <c r="G10" i="15"/>
  <c r="F10" i="15"/>
  <c r="E10" i="15"/>
  <c r="D10" i="15"/>
  <c r="C10" i="15"/>
  <c r="B10" i="15"/>
  <c r="A10" i="15"/>
  <c r="I9" i="15"/>
  <c r="H9" i="15"/>
  <c r="G9" i="15"/>
  <c r="F9" i="15"/>
  <c r="E9" i="15"/>
  <c r="C9" i="15"/>
  <c r="B9" i="15"/>
  <c r="A9" i="15"/>
  <c r="I8" i="15"/>
  <c r="H8" i="15"/>
  <c r="G8" i="15"/>
  <c r="F8" i="15"/>
  <c r="E8" i="15"/>
  <c r="D8" i="15"/>
  <c r="C8" i="15"/>
  <c r="B8" i="15"/>
  <c r="A8" i="15"/>
  <c r="I7" i="15"/>
  <c r="H7" i="15"/>
  <c r="G7" i="15"/>
  <c r="F7" i="15"/>
  <c r="E7" i="15"/>
  <c r="C7" i="15"/>
  <c r="D7" i="15" s="1"/>
  <c r="B7" i="15"/>
  <c r="A7" i="15"/>
  <c r="I6" i="15"/>
  <c r="H6" i="15"/>
  <c r="G6" i="15"/>
  <c r="F6" i="15"/>
  <c r="E6" i="15"/>
  <c r="C6" i="15"/>
  <c r="B6" i="15"/>
  <c r="A6" i="15"/>
  <c r="D6" i="15" s="1"/>
  <c r="I5" i="15"/>
  <c r="H5" i="15"/>
  <c r="G5" i="15"/>
  <c r="F5" i="15"/>
  <c r="E5" i="15"/>
  <c r="C5" i="15"/>
  <c r="B5" i="15"/>
  <c r="A5" i="15"/>
  <c r="D5" i="15" s="1"/>
  <c r="I4" i="15"/>
  <c r="H4" i="15"/>
  <c r="G4" i="15"/>
  <c r="F4" i="15"/>
  <c r="E4" i="15"/>
  <c r="C4" i="15"/>
  <c r="B4" i="15"/>
  <c r="A4" i="15"/>
  <c r="D4" i="15" s="1"/>
  <c r="I3" i="15"/>
  <c r="H3" i="15"/>
  <c r="G3" i="15"/>
  <c r="F3" i="15"/>
  <c r="E3" i="15"/>
  <c r="C3" i="15"/>
  <c r="B3" i="15"/>
  <c r="A3" i="15"/>
  <c r="I2" i="15"/>
  <c r="H2" i="15"/>
  <c r="G2" i="15"/>
  <c r="F2" i="15"/>
  <c r="E2" i="15"/>
  <c r="C2" i="15"/>
  <c r="B2" i="15"/>
  <c r="A2" i="15"/>
  <c r="J1" i="15"/>
  <c r="I1" i="15"/>
  <c r="H1" i="15"/>
  <c r="G1" i="15"/>
  <c r="F1" i="15"/>
  <c r="E1" i="15"/>
  <c r="C1" i="15"/>
  <c r="B1" i="15"/>
  <c r="A1" i="15"/>
  <c r="J27" i="14"/>
  <c r="I27" i="14"/>
  <c r="H27" i="14"/>
  <c r="F27" i="14"/>
  <c r="E27" i="14"/>
  <c r="C27" i="14"/>
  <c r="B27" i="14"/>
  <c r="A27" i="14"/>
  <c r="J26" i="14"/>
  <c r="I26" i="14"/>
  <c r="H26" i="14"/>
  <c r="F26" i="14"/>
  <c r="E26" i="14"/>
  <c r="C26" i="14"/>
  <c r="B26" i="14"/>
  <c r="A26" i="14"/>
  <c r="J25" i="14"/>
  <c r="I25" i="14"/>
  <c r="H25" i="14"/>
  <c r="F25" i="14"/>
  <c r="E25" i="14"/>
  <c r="C25" i="14"/>
  <c r="B25" i="14"/>
  <c r="A25" i="14"/>
  <c r="J24" i="14"/>
  <c r="I24" i="14"/>
  <c r="H24" i="14"/>
  <c r="F24" i="14"/>
  <c r="E24" i="14"/>
  <c r="C24" i="14"/>
  <c r="B24" i="14"/>
  <c r="A24" i="14"/>
  <c r="J23" i="14"/>
  <c r="I23" i="14"/>
  <c r="H23" i="14"/>
  <c r="F23" i="14"/>
  <c r="E23" i="14"/>
  <c r="C23" i="14"/>
  <c r="B23" i="14"/>
  <c r="A23" i="14"/>
  <c r="J22" i="14"/>
  <c r="I22" i="14"/>
  <c r="H22" i="14"/>
  <c r="F22" i="14"/>
  <c r="E22" i="14"/>
  <c r="C22" i="14"/>
  <c r="B22" i="14"/>
  <c r="A22" i="14"/>
  <c r="J21" i="14"/>
  <c r="I21" i="14"/>
  <c r="H21" i="14"/>
  <c r="F21" i="14"/>
  <c r="E21" i="14"/>
  <c r="C21" i="14"/>
  <c r="B21" i="14"/>
  <c r="A21" i="14"/>
  <c r="J20" i="14"/>
  <c r="I20" i="14"/>
  <c r="H20" i="14"/>
  <c r="F20" i="14"/>
  <c r="E20" i="14"/>
  <c r="C20" i="14"/>
  <c r="B20" i="14"/>
  <c r="A20" i="14"/>
  <c r="J19" i="14"/>
  <c r="I19" i="14"/>
  <c r="H19" i="14"/>
  <c r="F19" i="14"/>
  <c r="E19" i="14"/>
  <c r="C19" i="14"/>
  <c r="B19" i="14"/>
  <c r="A19" i="14"/>
  <c r="J18" i="14"/>
  <c r="I18" i="14"/>
  <c r="H18" i="14"/>
  <c r="F18" i="14"/>
  <c r="E18" i="14"/>
  <c r="C18" i="14"/>
  <c r="B18" i="14"/>
  <c r="A18" i="14"/>
  <c r="J17" i="14"/>
  <c r="I17" i="14"/>
  <c r="H17" i="14"/>
  <c r="F17" i="14"/>
  <c r="E17" i="14"/>
  <c r="C17" i="14"/>
  <c r="B17" i="14"/>
  <c r="A17" i="14"/>
  <c r="J16" i="14"/>
  <c r="I16" i="14"/>
  <c r="H16" i="14"/>
  <c r="F16" i="14"/>
  <c r="E16" i="14"/>
  <c r="C16" i="14"/>
  <c r="B16" i="14"/>
  <c r="A16" i="14"/>
  <c r="J15" i="14"/>
  <c r="I15" i="14"/>
  <c r="H15" i="14"/>
  <c r="F15" i="14"/>
  <c r="E15" i="14"/>
  <c r="C15" i="14"/>
  <c r="B15" i="14"/>
  <c r="A15" i="14"/>
  <c r="J14" i="14"/>
  <c r="I14" i="14"/>
  <c r="H14" i="14"/>
  <c r="F14" i="14"/>
  <c r="E14" i="14"/>
  <c r="C14" i="14"/>
  <c r="B14" i="14"/>
  <c r="A14" i="14"/>
  <c r="J13" i="14"/>
  <c r="I13" i="14"/>
  <c r="H13" i="14"/>
  <c r="F13" i="14"/>
  <c r="E13" i="14"/>
  <c r="C13" i="14"/>
  <c r="B13" i="14"/>
  <c r="A13" i="14"/>
  <c r="J12" i="14"/>
  <c r="I12" i="14"/>
  <c r="H12" i="14"/>
  <c r="F12" i="14"/>
  <c r="E12" i="14"/>
  <c r="C12" i="14"/>
  <c r="B12" i="14"/>
  <c r="A12" i="14"/>
  <c r="J11" i="14"/>
  <c r="I11" i="14"/>
  <c r="H11" i="14"/>
  <c r="F11" i="14"/>
  <c r="E11" i="14"/>
  <c r="C11" i="14"/>
  <c r="B11" i="14"/>
  <c r="A11" i="14"/>
  <c r="J10" i="14"/>
  <c r="I10" i="14"/>
  <c r="H10" i="14"/>
  <c r="G10" i="14"/>
  <c r="F10" i="14"/>
  <c r="E10" i="14"/>
  <c r="C10" i="14"/>
  <c r="B10" i="14"/>
  <c r="A10" i="14"/>
  <c r="D10" i="14" s="1"/>
  <c r="I9" i="14"/>
  <c r="H9" i="14"/>
  <c r="G9" i="14"/>
  <c r="F9" i="14"/>
  <c r="E9" i="14"/>
  <c r="C9" i="14"/>
  <c r="B9" i="14"/>
  <c r="A9" i="14"/>
  <c r="D9" i="14" s="1"/>
  <c r="I8" i="14"/>
  <c r="H8" i="14"/>
  <c r="G8" i="14"/>
  <c r="F8" i="14"/>
  <c r="E8" i="14"/>
  <c r="C8" i="14"/>
  <c r="D8" i="14" s="1"/>
  <c r="B8" i="14"/>
  <c r="A8" i="14"/>
  <c r="I7" i="14"/>
  <c r="H7" i="14"/>
  <c r="G7" i="14"/>
  <c r="F7" i="14"/>
  <c r="E7" i="14"/>
  <c r="C7" i="14"/>
  <c r="B7" i="14"/>
  <c r="A7" i="14"/>
  <c r="D7" i="14" s="1"/>
  <c r="I6" i="14"/>
  <c r="H6" i="14"/>
  <c r="G6" i="14"/>
  <c r="F6" i="14"/>
  <c r="E6" i="14"/>
  <c r="C6" i="14"/>
  <c r="B6" i="14"/>
  <c r="A6" i="14"/>
  <c r="I5" i="14"/>
  <c r="H5" i="14"/>
  <c r="G5" i="14"/>
  <c r="F5" i="14"/>
  <c r="E5" i="14"/>
  <c r="C5" i="14"/>
  <c r="B5" i="14"/>
  <c r="A5" i="14"/>
  <c r="D5" i="14" s="1"/>
  <c r="I4" i="14"/>
  <c r="H4" i="14"/>
  <c r="G4" i="14"/>
  <c r="F4" i="14"/>
  <c r="E4" i="14"/>
  <c r="C4" i="14"/>
  <c r="B4" i="14"/>
  <c r="A4" i="14"/>
  <c r="I3" i="14"/>
  <c r="H3" i="14"/>
  <c r="G3" i="14"/>
  <c r="F3" i="14"/>
  <c r="E3" i="14"/>
  <c r="C3" i="14"/>
  <c r="D3" i="14" s="1"/>
  <c r="B3" i="14"/>
  <c r="A3" i="14"/>
  <c r="I2" i="14"/>
  <c r="H2" i="14"/>
  <c r="G2" i="14"/>
  <c r="F2" i="14"/>
  <c r="E2" i="14"/>
  <c r="C2" i="14"/>
  <c r="D2" i="14" s="1"/>
  <c r="B2" i="14"/>
  <c r="A2" i="14"/>
  <c r="J1" i="14"/>
  <c r="I1" i="14"/>
  <c r="H1" i="14"/>
  <c r="G1" i="14"/>
  <c r="F1" i="14"/>
  <c r="E1" i="14"/>
  <c r="C1" i="14"/>
  <c r="B1" i="14"/>
  <c r="A1" i="14"/>
  <c r="J28" i="13"/>
  <c r="I28" i="13"/>
  <c r="H28" i="13"/>
  <c r="F28" i="13"/>
  <c r="E28" i="13"/>
  <c r="C28" i="13"/>
  <c r="B28" i="13"/>
  <c r="A28" i="13"/>
  <c r="J27" i="13"/>
  <c r="I27" i="13"/>
  <c r="H27" i="13"/>
  <c r="F27" i="13"/>
  <c r="E27" i="13"/>
  <c r="C27" i="13"/>
  <c r="B27" i="13"/>
  <c r="A27" i="13"/>
  <c r="J26" i="13"/>
  <c r="I26" i="13"/>
  <c r="H26" i="13"/>
  <c r="F26" i="13"/>
  <c r="E26" i="13"/>
  <c r="C26" i="13"/>
  <c r="B26" i="13"/>
  <c r="A26" i="13"/>
  <c r="J25" i="13"/>
  <c r="I25" i="13"/>
  <c r="H25" i="13"/>
  <c r="F25" i="13"/>
  <c r="E25" i="13"/>
  <c r="C25" i="13"/>
  <c r="B25" i="13"/>
  <c r="A25" i="13"/>
  <c r="J24" i="13"/>
  <c r="I24" i="13"/>
  <c r="H24" i="13"/>
  <c r="F24" i="13"/>
  <c r="E24" i="13"/>
  <c r="C24" i="13"/>
  <c r="B24" i="13"/>
  <c r="A24" i="13"/>
  <c r="J23" i="13"/>
  <c r="I23" i="13"/>
  <c r="H23" i="13"/>
  <c r="F23" i="13"/>
  <c r="E23" i="13"/>
  <c r="C23" i="13"/>
  <c r="B23" i="13"/>
  <c r="A23" i="13"/>
  <c r="J22" i="13"/>
  <c r="I22" i="13"/>
  <c r="H22" i="13"/>
  <c r="F22" i="13"/>
  <c r="E22" i="13"/>
  <c r="C22" i="13"/>
  <c r="B22" i="13"/>
  <c r="A22" i="13"/>
  <c r="J21" i="13"/>
  <c r="I21" i="13"/>
  <c r="H21" i="13"/>
  <c r="F21" i="13"/>
  <c r="E21" i="13"/>
  <c r="C21" i="13"/>
  <c r="B21" i="13"/>
  <c r="A21" i="13"/>
  <c r="J20" i="13"/>
  <c r="I20" i="13"/>
  <c r="H20" i="13"/>
  <c r="F20" i="13"/>
  <c r="E20" i="13"/>
  <c r="C20" i="13"/>
  <c r="B20" i="13"/>
  <c r="A20" i="13"/>
  <c r="J19" i="13"/>
  <c r="I19" i="13"/>
  <c r="H19" i="13"/>
  <c r="F19" i="13"/>
  <c r="E19" i="13"/>
  <c r="C19" i="13"/>
  <c r="B19" i="13"/>
  <c r="A19" i="13"/>
  <c r="J18" i="13"/>
  <c r="I18" i="13"/>
  <c r="H18" i="13"/>
  <c r="F18" i="13"/>
  <c r="E18" i="13"/>
  <c r="C18" i="13"/>
  <c r="B18" i="13"/>
  <c r="A18" i="13"/>
  <c r="J17" i="13"/>
  <c r="I17" i="13"/>
  <c r="H17" i="13"/>
  <c r="F17" i="13"/>
  <c r="E17" i="13"/>
  <c r="C17" i="13"/>
  <c r="B17" i="13"/>
  <c r="A17" i="13"/>
  <c r="J16" i="13"/>
  <c r="I16" i="13"/>
  <c r="H16" i="13"/>
  <c r="F16" i="13"/>
  <c r="E16" i="13"/>
  <c r="C16" i="13"/>
  <c r="B16" i="13"/>
  <c r="A16" i="13"/>
  <c r="J15" i="13"/>
  <c r="I15" i="13"/>
  <c r="H15" i="13"/>
  <c r="F15" i="13"/>
  <c r="E15" i="13"/>
  <c r="C15" i="13"/>
  <c r="B15" i="13"/>
  <c r="A15" i="13"/>
  <c r="J14" i="13"/>
  <c r="I14" i="13"/>
  <c r="H14" i="13"/>
  <c r="F14" i="13"/>
  <c r="E14" i="13"/>
  <c r="C14" i="13"/>
  <c r="B14" i="13"/>
  <c r="A14" i="13"/>
  <c r="J13" i="13"/>
  <c r="I13" i="13"/>
  <c r="H13" i="13"/>
  <c r="F13" i="13"/>
  <c r="E13" i="13"/>
  <c r="C13" i="13"/>
  <c r="B13" i="13"/>
  <c r="A13" i="13"/>
  <c r="J12" i="13"/>
  <c r="I12" i="13"/>
  <c r="H12" i="13"/>
  <c r="F12" i="13"/>
  <c r="E12" i="13"/>
  <c r="C12" i="13"/>
  <c r="B12" i="13"/>
  <c r="A12" i="13"/>
  <c r="J11" i="13"/>
  <c r="I11" i="13"/>
  <c r="H11" i="13"/>
  <c r="F11" i="13"/>
  <c r="E11" i="13"/>
  <c r="C11" i="13"/>
  <c r="B11" i="13"/>
  <c r="A11" i="13"/>
  <c r="J10" i="13"/>
  <c r="I10" i="13"/>
  <c r="H10" i="13"/>
  <c r="G10" i="13"/>
  <c r="F10" i="13"/>
  <c r="E10" i="13"/>
  <c r="C10" i="13"/>
  <c r="B10" i="13"/>
  <c r="A10" i="13"/>
  <c r="D10" i="13" s="1"/>
  <c r="I9" i="13"/>
  <c r="H9" i="13"/>
  <c r="G9" i="13"/>
  <c r="F9" i="13"/>
  <c r="E9" i="13"/>
  <c r="C9" i="13"/>
  <c r="B9" i="13"/>
  <c r="A9" i="13"/>
  <c r="D9" i="13" s="1"/>
  <c r="I8" i="13"/>
  <c r="H8" i="13"/>
  <c r="G8" i="13"/>
  <c r="F8" i="13"/>
  <c r="E8" i="13"/>
  <c r="C8" i="13"/>
  <c r="B8" i="13"/>
  <c r="A8" i="13"/>
  <c r="D8" i="13" s="1"/>
  <c r="I7" i="13"/>
  <c r="H7" i="13"/>
  <c r="G7" i="13"/>
  <c r="F7" i="13"/>
  <c r="E7" i="13"/>
  <c r="C7" i="13"/>
  <c r="B7" i="13"/>
  <c r="A7" i="13"/>
  <c r="I6" i="13"/>
  <c r="H6" i="13"/>
  <c r="G6" i="13"/>
  <c r="F6" i="13"/>
  <c r="E6" i="13"/>
  <c r="C6" i="13"/>
  <c r="D6" i="13" s="1"/>
  <c r="B6" i="13"/>
  <c r="A6" i="13"/>
  <c r="I5" i="13"/>
  <c r="H5" i="13"/>
  <c r="G5" i="13"/>
  <c r="F5" i="13"/>
  <c r="E5" i="13"/>
  <c r="C5" i="13"/>
  <c r="D5" i="13" s="1"/>
  <c r="B5" i="13"/>
  <c r="A5" i="13"/>
  <c r="I4" i="13"/>
  <c r="H4" i="13"/>
  <c r="G4" i="13"/>
  <c r="F4" i="13"/>
  <c r="E4" i="13"/>
  <c r="C4" i="13"/>
  <c r="B4" i="13"/>
  <c r="A4" i="13"/>
  <c r="D4" i="13" s="1"/>
  <c r="I3" i="13"/>
  <c r="H3" i="13"/>
  <c r="G3" i="13"/>
  <c r="F3" i="13"/>
  <c r="E3" i="13"/>
  <c r="C3" i="13"/>
  <c r="B3" i="13"/>
  <c r="A3" i="13"/>
  <c r="D3" i="13" s="1"/>
  <c r="I2" i="13"/>
  <c r="H2" i="13"/>
  <c r="G2" i="13"/>
  <c r="F2" i="13"/>
  <c r="E2" i="13"/>
  <c r="C2" i="13"/>
  <c r="B2" i="13"/>
  <c r="A2" i="13"/>
  <c r="D2" i="13" s="1"/>
  <c r="J1" i="13"/>
  <c r="I1" i="13"/>
  <c r="H1" i="13"/>
  <c r="G1" i="13"/>
  <c r="F1" i="13"/>
  <c r="E1" i="13"/>
  <c r="C1" i="13"/>
  <c r="B1" i="13"/>
  <c r="A1" i="13"/>
  <c r="J29" i="12"/>
  <c r="I29" i="12"/>
  <c r="H29" i="12"/>
  <c r="F29" i="12"/>
  <c r="E29" i="12"/>
  <c r="C29" i="12"/>
  <c r="B29" i="12"/>
  <c r="A29" i="12"/>
  <c r="J28" i="12"/>
  <c r="I28" i="12"/>
  <c r="H28" i="12"/>
  <c r="F28" i="12"/>
  <c r="E28" i="12"/>
  <c r="C28" i="12"/>
  <c r="B28" i="12"/>
  <c r="A28" i="12"/>
  <c r="J27" i="12"/>
  <c r="I27" i="12"/>
  <c r="H27" i="12"/>
  <c r="F27" i="12"/>
  <c r="E27" i="12"/>
  <c r="C27" i="12"/>
  <c r="B27" i="12"/>
  <c r="A27" i="12"/>
  <c r="J26" i="12"/>
  <c r="I26" i="12"/>
  <c r="H26" i="12"/>
  <c r="F26" i="12"/>
  <c r="E26" i="12"/>
  <c r="C26" i="12"/>
  <c r="B26" i="12"/>
  <c r="A26" i="12"/>
  <c r="J25" i="12"/>
  <c r="I25" i="12"/>
  <c r="H25" i="12"/>
  <c r="F25" i="12"/>
  <c r="E25" i="12"/>
  <c r="C25" i="12"/>
  <c r="B25" i="12"/>
  <c r="A25" i="12"/>
  <c r="J24" i="12"/>
  <c r="I24" i="12"/>
  <c r="H24" i="12"/>
  <c r="F24" i="12"/>
  <c r="E24" i="12"/>
  <c r="C24" i="12"/>
  <c r="B24" i="12"/>
  <c r="A24" i="12"/>
  <c r="J23" i="12"/>
  <c r="I23" i="12"/>
  <c r="H23" i="12"/>
  <c r="F23" i="12"/>
  <c r="E23" i="12"/>
  <c r="C23" i="12"/>
  <c r="B23" i="12"/>
  <c r="A23" i="12"/>
  <c r="J22" i="12"/>
  <c r="I22" i="12"/>
  <c r="H22" i="12"/>
  <c r="F22" i="12"/>
  <c r="E22" i="12"/>
  <c r="C22" i="12"/>
  <c r="B22" i="12"/>
  <c r="A22" i="12"/>
  <c r="J21" i="12"/>
  <c r="I21" i="12"/>
  <c r="H21" i="12"/>
  <c r="F21" i="12"/>
  <c r="E21" i="12"/>
  <c r="C21" i="12"/>
  <c r="B21" i="12"/>
  <c r="A21" i="12"/>
  <c r="J20" i="12"/>
  <c r="I20" i="12"/>
  <c r="H20" i="12"/>
  <c r="F20" i="12"/>
  <c r="E20" i="12"/>
  <c r="C20" i="12"/>
  <c r="B20" i="12"/>
  <c r="A20" i="12"/>
  <c r="J19" i="12"/>
  <c r="I19" i="12"/>
  <c r="H19" i="12"/>
  <c r="F19" i="12"/>
  <c r="E19" i="12"/>
  <c r="C19" i="12"/>
  <c r="B19" i="12"/>
  <c r="A19" i="12"/>
  <c r="J18" i="12"/>
  <c r="I18" i="12"/>
  <c r="H18" i="12"/>
  <c r="F18" i="12"/>
  <c r="E18" i="12"/>
  <c r="C18" i="12"/>
  <c r="B18" i="12"/>
  <c r="A18" i="12"/>
  <c r="J17" i="12"/>
  <c r="I17" i="12"/>
  <c r="H17" i="12"/>
  <c r="F17" i="12"/>
  <c r="E17" i="12"/>
  <c r="C17" i="12"/>
  <c r="B17" i="12"/>
  <c r="A17" i="12"/>
  <c r="J16" i="12"/>
  <c r="I16" i="12"/>
  <c r="H16" i="12"/>
  <c r="F16" i="12"/>
  <c r="E16" i="12"/>
  <c r="C16" i="12"/>
  <c r="B16" i="12"/>
  <c r="A16" i="12"/>
  <c r="J15" i="12"/>
  <c r="I15" i="12"/>
  <c r="H15" i="12"/>
  <c r="F15" i="12"/>
  <c r="E15" i="12"/>
  <c r="C15" i="12"/>
  <c r="B15" i="12"/>
  <c r="A15" i="12"/>
  <c r="J14" i="12"/>
  <c r="I14" i="12"/>
  <c r="H14" i="12"/>
  <c r="F14" i="12"/>
  <c r="E14" i="12"/>
  <c r="C14" i="12"/>
  <c r="B14" i="12"/>
  <c r="A14" i="12"/>
  <c r="J13" i="12"/>
  <c r="I13" i="12"/>
  <c r="H13" i="12"/>
  <c r="F13" i="12"/>
  <c r="E13" i="12"/>
  <c r="C13" i="12"/>
  <c r="B13" i="12"/>
  <c r="A13" i="12"/>
  <c r="J12" i="12"/>
  <c r="I12" i="12"/>
  <c r="H12" i="12"/>
  <c r="F12" i="12"/>
  <c r="E12" i="12"/>
  <c r="C12" i="12"/>
  <c r="B12" i="12"/>
  <c r="A12" i="12"/>
  <c r="J11" i="12"/>
  <c r="I11" i="12"/>
  <c r="H11" i="12"/>
  <c r="F11" i="12"/>
  <c r="E11" i="12"/>
  <c r="C11" i="12"/>
  <c r="B11" i="12"/>
  <c r="A11" i="12"/>
  <c r="I10" i="12"/>
  <c r="H10" i="12"/>
  <c r="G10" i="12"/>
  <c r="F10" i="12"/>
  <c r="E10" i="12"/>
  <c r="D10" i="12"/>
  <c r="C10" i="12"/>
  <c r="B10" i="12"/>
  <c r="A10" i="12"/>
  <c r="I9" i="12"/>
  <c r="H9" i="12"/>
  <c r="G9" i="12"/>
  <c r="F9" i="12"/>
  <c r="E9" i="12"/>
  <c r="C9" i="12"/>
  <c r="B9" i="12"/>
  <c r="A9" i="12"/>
  <c r="I8" i="12"/>
  <c r="H8" i="12"/>
  <c r="G8" i="12"/>
  <c r="F8" i="12"/>
  <c r="E8" i="12"/>
  <c r="D8" i="12"/>
  <c r="C8" i="12"/>
  <c r="B8" i="12"/>
  <c r="A8" i="12"/>
  <c r="I7" i="12"/>
  <c r="H7" i="12"/>
  <c r="G7" i="12"/>
  <c r="F7" i="12"/>
  <c r="E7" i="12"/>
  <c r="C7" i="12"/>
  <c r="D7" i="12" s="1"/>
  <c r="B7" i="12"/>
  <c r="A7" i="12"/>
  <c r="I6" i="12"/>
  <c r="H6" i="12"/>
  <c r="G6" i="12"/>
  <c r="F6" i="12"/>
  <c r="E6" i="12"/>
  <c r="C6" i="12"/>
  <c r="B6" i="12"/>
  <c r="A6" i="12"/>
  <c r="D6" i="12" s="1"/>
  <c r="I5" i="12"/>
  <c r="H5" i="12"/>
  <c r="G5" i="12"/>
  <c r="F5" i="12"/>
  <c r="E5" i="12"/>
  <c r="C5" i="12"/>
  <c r="B5" i="12"/>
  <c r="A5" i="12"/>
  <c r="D5" i="12" s="1"/>
  <c r="I4" i="12"/>
  <c r="H4" i="12"/>
  <c r="G4" i="12"/>
  <c r="F4" i="12"/>
  <c r="E4" i="12"/>
  <c r="C4" i="12"/>
  <c r="B4" i="12"/>
  <c r="A4" i="12"/>
  <c r="I3" i="12"/>
  <c r="H3" i="12"/>
  <c r="G3" i="12"/>
  <c r="F3" i="12"/>
  <c r="E3" i="12"/>
  <c r="C3" i="12"/>
  <c r="B3" i="12"/>
  <c r="A3" i="12"/>
  <c r="D3" i="12" s="1"/>
  <c r="I2" i="12"/>
  <c r="H2" i="12"/>
  <c r="G2" i="12"/>
  <c r="F2" i="12"/>
  <c r="E2" i="12"/>
  <c r="C2" i="12"/>
  <c r="B2" i="12"/>
  <c r="A2" i="12"/>
  <c r="D2" i="12" s="1"/>
  <c r="J1" i="12"/>
  <c r="I1" i="12"/>
  <c r="H1" i="12"/>
  <c r="G1" i="12"/>
  <c r="F1" i="12"/>
  <c r="E1" i="12"/>
  <c r="C1" i="12"/>
  <c r="B1" i="12"/>
  <c r="A1" i="12"/>
  <c r="J29" i="11"/>
  <c r="I29" i="11"/>
  <c r="H29" i="11"/>
  <c r="F29" i="11"/>
  <c r="E29" i="11"/>
  <c r="C29" i="11"/>
  <c r="B29" i="11"/>
  <c r="A29" i="11"/>
  <c r="J28" i="11"/>
  <c r="I28" i="11"/>
  <c r="H28" i="11"/>
  <c r="F28" i="11"/>
  <c r="E28" i="11"/>
  <c r="C28" i="11"/>
  <c r="B28" i="11"/>
  <c r="A28" i="11"/>
  <c r="J27" i="11"/>
  <c r="I27" i="11"/>
  <c r="H27" i="11"/>
  <c r="F27" i="11"/>
  <c r="E27" i="11"/>
  <c r="C27" i="11"/>
  <c r="B27" i="11"/>
  <c r="A27" i="11"/>
  <c r="J26" i="11"/>
  <c r="I26" i="11"/>
  <c r="H26" i="11"/>
  <c r="F26" i="11"/>
  <c r="E26" i="11"/>
  <c r="C26" i="11"/>
  <c r="B26" i="11"/>
  <c r="A26" i="11"/>
  <c r="J25" i="11"/>
  <c r="I25" i="11"/>
  <c r="H25" i="11"/>
  <c r="F25" i="11"/>
  <c r="E25" i="11"/>
  <c r="C25" i="11"/>
  <c r="B25" i="11"/>
  <c r="A25" i="11"/>
  <c r="J24" i="11"/>
  <c r="I24" i="11"/>
  <c r="H24" i="11"/>
  <c r="F24" i="11"/>
  <c r="E24" i="11"/>
  <c r="C24" i="11"/>
  <c r="B24" i="11"/>
  <c r="A24" i="11"/>
  <c r="J23" i="11"/>
  <c r="I23" i="11"/>
  <c r="H23" i="11"/>
  <c r="F23" i="11"/>
  <c r="E23" i="11"/>
  <c r="C23" i="11"/>
  <c r="B23" i="11"/>
  <c r="A23" i="11"/>
  <c r="J22" i="11"/>
  <c r="I22" i="11"/>
  <c r="H22" i="11"/>
  <c r="F22" i="11"/>
  <c r="E22" i="11"/>
  <c r="C22" i="11"/>
  <c r="B22" i="11"/>
  <c r="A22" i="11"/>
  <c r="J21" i="11"/>
  <c r="I21" i="11"/>
  <c r="H21" i="11"/>
  <c r="F21" i="11"/>
  <c r="E21" i="11"/>
  <c r="C21" i="11"/>
  <c r="B21" i="11"/>
  <c r="A21" i="11"/>
  <c r="J20" i="11"/>
  <c r="I20" i="11"/>
  <c r="H20" i="11"/>
  <c r="F20" i="11"/>
  <c r="E20" i="11"/>
  <c r="C20" i="11"/>
  <c r="B20" i="11"/>
  <c r="A20" i="11"/>
  <c r="J19" i="11"/>
  <c r="I19" i="11"/>
  <c r="H19" i="11"/>
  <c r="F19" i="11"/>
  <c r="E19" i="11"/>
  <c r="C19" i="11"/>
  <c r="B19" i="11"/>
  <c r="A19" i="11"/>
  <c r="J18" i="11"/>
  <c r="I18" i="11"/>
  <c r="H18" i="11"/>
  <c r="F18" i="11"/>
  <c r="E18" i="11"/>
  <c r="C18" i="11"/>
  <c r="B18" i="11"/>
  <c r="A18" i="11"/>
  <c r="J17" i="11"/>
  <c r="I17" i="11"/>
  <c r="H17" i="11"/>
  <c r="F17" i="11"/>
  <c r="E17" i="11"/>
  <c r="C17" i="11"/>
  <c r="B17" i="11"/>
  <c r="A17" i="11"/>
  <c r="J16" i="11"/>
  <c r="I16" i="11"/>
  <c r="H16" i="11"/>
  <c r="F16" i="11"/>
  <c r="E16" i="11"/>
  <c r="C16" i="11"/>
  <c r="B16" i="11"/>
  <c r="A16" i="11"/>
  <c r="J15" i="11"/>
  <c r="I15" i="11"/>
  <c r="H15" i="11"/>
  <c r="F15" i="11"/>
  <c r="E15" i="11"/>
  <c r="C15" i="11"/>
  <c r="B15" i="11"/>
  <c r="A15" i="11"/>
  <c r="J14" i="11"/>
  <c r="I14" i="11"/>
  <c r="H14" i="11"/>
  <c r="F14" i="11"/>
  <c r="E14" i="11"/>
  <c r="C14" i="11"/>
  <c r="B14" i="11"/>
  <c r="A14" i="11"/>
  <c r="J13" i="11"/>
  <c r="I13" i="11"/>
  <c r="H13" i="11"/>
  <c r="F13" i="11"/>
  <c r="E13" i="11"/>
  <c r="C13" i="11"/>
  <c r="B13" i="11"/>
  <c r="A13" i="11"/>
  <c r="J12" i="11"/>
  <c r="I12" i="11"/>
  <c r="H12" i="11"/>
  <c r="F12" i="11"/>
  <c r="E12" i="11"/>
  <c r="C12" i="11"/>
  <c r="B12" i="11"/>
  <c r="A12" i="11"/>
  <c r="J11" i="11"/>
  <c r="I11" i="11"/>
  <c r="H11" i="11"/>
  <c r="F11" i="11"/>
  <c r="E11" i="11"/>
  <c r="C11" i="11"/>
  <c r="B11" i="11"/>
  <c r="A11" i="11"/>
  <c r="I10" i="11"/>
  <c r="H10" i="11"/>
  <c r="G10" i="11"/>
  <c r="F10" i="11"/>
  <c r="E10" i="11"/>
  <c r="C10" i="11"/>
  <c r="B10" i="11"/>
  <c r="A10" i="11"/>
  <c r="D10" i="11" s="1"/>
  <c r="I9" i="11"/>
  <c r="H9" i="11"/>
  <c r="G9" i="11"/>
  <c r="F9" i="11"/>
  <c r="E9" i="11"/>
  <c r="C9" i="11"/>
  <c r="D9" i="11" s="1"/>
  <c r="B9" i="11"/>
  <c r="A9" i="11"/>
  <c r="I8" i="11"/>
  <c r="H8" i="11"/>
  <c r="G8" i="11"/>
  <c r="F8" i="11"/>
  <c r="E8" i="11"/>
  <c r="C8" i="11"/>
  <c r="B8" i="11"/>
  <c r="A8" i="11"/>
  <c r="D8" i="11" s="1"/>
  <c r="I7" i="11"/>
  <c r="H7" i="11"/>
  <c r="G7" i="11"/>
  <c r="F7" i="11"/>
  <c r="E7" i="11"/>
  <c r="C7" i="11"/>
  <c r="B7" i="11"/>
  <c r="A7" i="11"/>
  <c r="D7" i="11" s="1"/>
  <c r="I6" i="11"/>
  <c r="H6" i="11"/>
  <c r="G6" i="11"/>
  <c r="F6" i="11"/>
  <c r="E6" i="11"/>
  <c r="C6" i="11"/>
  <c r="B6" i="11"/>
  <c r="A6" i="11"/>
  <c r="I5" i="11"/>
  <c r="H5" i="11"/>
  <c r="G5" i="11"/>
  <c r="F5" i="11"/>
  <c r="E5" i="11"/>
  <c r="C5" i="11"/>
  <c r="B5" i="11"/>
  <c r="A5" i="11"/>
  <c r="D5" i="11" s="1"/>
  <c r="I4" i="11"/>
  <c r="H4" i="11"/>
  <c r="G4" i="11"/>
  <c r="F4" i="11"/>
  <c r="E4" i="11"/>
  <c r="C4" i="11"/>
  <c r="B4" i="11"/>
  <c r="A4" i="11"/>
  <c r="D4" i="11" s="1"/>
  <c r="I3" i="11"/>
  <c r="H3" i="11"/>
  <c r="G3" i="11"/>
  <c r="F3" i="11"/>
  <c r="E3" i="11"/>
  <c r="C3" i="11"/>
  <c r="B3" i="11"/>
  <c r="A3" i="11"/>
  <c r="D3" i="11" s="1"/>
  <c r="I2" i="11"/>
  <c r="H2" i="11"/>
  <c r="G2" i="11"/>
  <c r="F2" i="11"/>
  <c r="E2" i="11"/>
  <c r="C2" i="11"/>
  <c r="D2" i="11" s="1"/>
  <c r="B2" i="11"/>
  <c r="A2" i="11"/>
  <c r="J1" i="11"/>
  <c r="I1" i="11"/>
  <c r="H1" i="11"/>
  <c r="G1" i="11"/>
  <c r="F1" i="11"/>
  <c r="E1" i="11"/>
  <c r="C1" i="11"/>
  <c r="B1" i="11"/>
  <c r="A1" i="11"/>
  <c r="J29" i="10"/>
  <c r="I29" i="10"/>
  <c r="H29" i="10"/>
  <c r="F29" i="10"/>
  <c r="E29" i="10"/>
  <c r="C29" i="10"/>
  <c r="B29" i="10"/>
  <c r="A29" i="10"/>
  <c r="J28" i="10"/>
  <c r="I28" i="10"/>
  <c r="H28" i="10"/>
  <c r="F28" i="10"/>
  <c r="E28" i="10"/>
  <c r="C28" i="10"/>
  <c r="B28" i="10"/>
  <c r="A28" i="10"/>
  <c r="J27" i="10"/>
  <c r="I27" i="10"/>
  <c r="H27" i="10"/>
  <c r="F27" i="10"/>
  <c r="E27" i="10"/>
  <c r="C27" i="10"/>
  <c r="B27" i="10"/>
  <c r="A27" i="10"/>
  <c r="J26" i="10"/>
  <c r="I26" i="10"/>
  <c r="H26" i="10"/>
  <c r="F26" i="10"/>
  <c r="E26" i="10"/>
  <c r="C26" i="10"/>
  <c r="B26" i="10"/>
  <c r="A26" i="10"/>
  <c r="J25" i="10"/>
  <c r="I25" i="10"/>
  <c r="H25" i="10"/>
  <c r="F25" i="10"/>
  <c r="E25" i="10"/>
  <c r="C25" i="10"/>
  <c r="B25" i="10"/>
  <c r="A25" i="10"/>
  <c r="J24" i="10"/>
  <c r="I24" i="10"/>
  <c r="H24" i="10"/>
  <c r="F24" i="10"/>
  <c r="E24" i="10"/>
  <c r="C24" i="10"/>
  <c r="B24" i="10"/>
  <c r="A24" i="10"/>
  <c r="J23" i="10"/>
  <c r="I23" i="10"/>
  <c r="H23" i="10"/>
  <c r="F23" i="10"/>
  <c r="E23" i="10"/>
  <c r="C23" i="10"/>
  <c r="B23" i="10"/>
  <c r="A23" i="10"/>
  <c r="J22" i="10"/>
  <c r="I22" i="10"/>
  <c r="H22" i="10"/>
  <c r="F22" i="10"/>
  <c r="E22" i="10"/>
  <c r="C22" i="10"/>
  <c r="B22" i="10"/>
  <c r="A22" i="10"/>
  <c r="J21" i="10"/>
  <c r="I21" i="10"/>
  <c r="H21" i="10"/>
  <c r="F21" i="10"/>
  <c r="E21" i="10"/>
  <c r="C21" i="10"/>
  <c r="B21" i="10"/>
  <c r="A21" i="10"/>
  <c r="J20" i="10"/>
  <c r="I20" i="10"/>
  <c r="H20" i="10"/>
  <c r="F20" i="10"/>
  <c r="E20" i="10"/>
  <c r="C20" i="10"/>
  <c r="B20" i="10"/>
  <c r="A20" i="10"/>
  <c r="J19" i="10"/>
  <c r="I19" i="10"/>
  <c r="H19" i="10"/>
  <c r="F19" i="10"/>
  <c r="E19" i="10"/>
  <c r="C19" i="10"/>
  <c r="B19" i="10"/>
  <c r="A19" i="10"/>
  <c r="J18" i="10"/>
  <c r="I18" i="10"/>
  <c r="H18" i="10"/>
  <c r="F18" i="10"/>
  <c r="E18" i="10"/>
  <c r="C18" i="10"/>
  <c r="B18" i="10"/>
  <c r="A18" i="10"/>
  <c r="J17" i="10"/>
  <c r="I17" i="10"/>
  <c r="H17" i="10"/>
  <c r="F17" i="10"/>
  <c r="E17" i="10"/>
  <c r="C17" i="10"/>
  <c r="B17" i="10"/>
  <c r="A17" i="10"/>
  <c r="J16" i="10"/>
  <c r="I16" i="10"/>
  <c r="H16" i="10"/>
  <c r="F16" i="10"/>
  <c r="E16" i="10"/>
  <c r="C16" i="10"/>
  <c r="B16" i="10"/>
  <c r="A16" i="10"/>
  <c r="J15" i="10"/>
  <c r="I15" i="10"/>
  <c r="H15" i="10"/>
  <c r="F15" i="10"/>
  <c r="E15" i="10"/>
  <c r="C15" i="10"/>
  <c r="B15" i="10"/>
  <c r="A15" i="10"/>
  <c r="J14" i="10"/>
  <c r="I14" i="10"/>
  <c r="H14" i="10"/>
  <c r="F14" i="10"/>
  <c r="E14" i="10"/>
  <c r="C14" i="10"/>
  <c r="B14" i="10"/>
  <c r="A14" i="10"/>
  <c r="J13" i="10"/>
  <c r="I13" i="10"/>
  <c r="H13" i="10"/>
  <c r="F13" i="10"/>
  <c r="E13" i="10"/>
  <c r="C13" i="10"/>
  <c r="B13" i="10"/>
  <c r="A13" i="10"/>
  <c r="J12" i="10"/>
  <c r="I12" i="10"/>
  <c r="H12" i="10"/>
  <c r="F12" i="10"/>
  <c r="E12" i="10"/>
  <c r="C12" i="10"/>
  <c r="B12" i="10"/>
  <c r="A12" i="10"/>
  <c r="J11" i="10"/>
  <c r="I11" i="10"/>
  <c r="H11" i="10"/>
  <c r="F11" i="10"/>
  <c r="E11" i="10"/>
  <c r="C11" i="10"/>
  <c r="B11" i="10"/>
  <c r="A11" i="10"/>
  <c r="J10" i="10"/>
  <c r="I10" i="10"/>
  <c r="H10" i="10"/>
  <c r="G10" i="10"/>
  <c r="F10" i="10"/>
  <c r="E10" i="10"/>
  <c r="C10" i="10"/>
  <c r="D10" i="10" s="1"/>
  <c r="B10" i="10"/>
  <c r="A10" i="10"/>
  <c r="I9" i="10"/>
  <c r="H9" i="10"/>
  <c r="G9" i="10"/>
  <c r="F9" i="10"/>
  <c r="E9" i="10"/>
  <c r="C9" i="10"/>
  <c r="B9" i="10"/>
  <c r="A9" i="10"/>
  <c r="I8" i="10"/>
  <c r="H8" i="10"/>
  <c r="G8" i="10"/>
  <c r="F8" i="10"/>
  <c r="E8" i="10"/>
  <c r="C8" i="10"/>
  <c r="B8" i="10"/>
  <c r="A8" i="10"/>
  <c r="I7" i="10"/>
  <c r="H7" i="10"/>
  <c r="G7" i="10"/>
  <c r="F7" i="10"/>
  <c r="E7" i="10"/>
  <c r="C7" i="10"/>
  <c r="B7" i="10"/>
  <c r="A7" i="10"/>
  <c r="D7" i="10" s="1"/>
  <c r="I6" i="10"/>
  <c r="H6" i="10"/>
  <c r="G6" i="10"/>
  <c r="F6" i="10"/>
  <c r="E6" i="10"/>
  <c r="C6" i="10"/>
  <c r="B6" i="10"/>
  <c r="A6" i="10"/>
  <c r="I5" i="10"/>
  <c r="H5" i="10"/>
  <c r="G5" i="10"/>
  <c r="F5" i="10"/>
  <c r="E5" i="10"/>
  <c r="C5" i="10"/>
  <c r="B5" i="10"/>
  <c r="A5" i="10"/>
  <c r="D5" i="10" s="1"/>
  <c r="I4" i="10"/>
  <c r="H4" i="10"/>
  <c r="G4" i="10"/>
  <c r="F4" i="10"/>
  <c r="E4" i="10"/>
  <c r="C4" i="10"/>
  <c r="B4" i="10"/>
  <c r="A4" i="10"/>
  <c r="I3" i="10"/>
  <c r="H3" i="10"/>
  <c r="G3" i="10"/>
  <c r="F3" i="10"/>
  <c r="E3" i="10"/>
  <c r="C3" i="10"/>
  <c r="B3" i="10"/>
  <c r="A3" i="10"/>
  <c r="D3" i="10" s="1"/>
  <c r="I2" i="10"/>
  <c r="H2" i="10"/>
  <c r="G2" i="10"/>
  <c r="F2" i="10"/>
  <c r="E2" i="10"/>
  <c r="C2" i="10"/>
  <c r="B2" i="10"/>
  <c r="A2" i="10"/>
  <c r="J1" i="10"/>
  <c r="I1" i="10"/>
  <c r="H1" i="10"/>
  <c r="G1" i="10"/>
  <c r="F1" i="10"/>
  <c r="E1" i="10"/>
  <c r="C1" i="10"/>
  <c r="B1" i="10"/>
  <c r="A1" i="10"/>
  <c r="J30" i="9"/>
  <c r="I30" i="9"/>
  <c r="H30" i="9"/>
  <c r="F30" i="9"/>
  <c r="E30" i="9"/>
  <c r="C30" i="9"/>
  <c r="B30" i="9"/>
  <c r="A30" i="9"/>
  <c r="J29" i="9"/>
  <c r="I29" i="9"/>
  <c r="H29" i="9"/>
  <c r="F29" i="9"/>
  <c r="E29" i="9"/>
  <c r="C29" i="9"/>
  <c r="B29" i="9"/>
  <c r="A29" i="9"/>
  <c r="J28" i="9"/>
  <c r="I28" i="9"/>
  <c r="H28" i="9"/>
  <c r="F28" i="9"/>
  <c r="E28" i="9"/>
  <c r="C28" i="9"/>
  <c r="B28" i="9"/>
  <c r="A28" i="9"/>
  <c r="J27" i="9"/>
  <c r="I27" i="9"/>
  <c r="H27" i="9"/>
  <c r="F27" i="9"/>
  <c r="E27" i="9"/>
  <c r="C27" i="9"/>
  <c r="B27" i="9"/>
  <c r="A27" i="9"/>
  <c r="J26" i="9"/>
  <c r="I26" i="9"/>
  <c r="H26" i="9"/>
  <c r="F26" i="9"/>
  <c r="E26" i="9"/>
  <c r="C26" i="9"/>
  <c r="B26" i="9"/>
  <c r="A26" i="9"/>
  <c r="J25" i="9"/>
  <c r="I25" i="9"/>
  <c r="H25" i="9"/>
  <c r="F25" i="9"/>
  <c r="E25" i="9"/>
  <c r="C25" i="9"/>
  <c r="B25" i="9"/>
  <c r="A25" i="9"/>
  <c r="J24" i="9"/>
  <c r="I24" i="9"/>
  <c r="H24" i="9"/>
  <c r="F24" i="9"/>
  <c r="E24" i="9"/>
  <c r="C24" i="9"/>
  <c r="B24" i="9"/>
  <c r="A24" i="9"/>
  <c r="J23" i="9"/>
  <c r="I23" i="9"/>
  <c r="H23" i="9"/>
  <c r="F23" i="9"/>
  <c r="E23" i="9"/>
  <c r="C23" i="9"/>
  <c r="B23" i="9"/>
  <c r="A23" i="9"/>
  <c r="J22" i="9"/>
  <c r="I22" i="9"/>
  <c r="H22" i="9"/>
  <c r="F22" i="9"/>
  <c r="E22" i="9"/>
  <c r="C22" i="9"/>
  <c r="B22" i="9"/>
  <c r="A22" i="9"/>
  <c r="J21" i="9"/>
  <c r="I21" i="9"/>
  <c r="H21" i="9"/>
  <c r="F21" i="9"/>
  <c r="E21" i="9"/>
  <c r="C21" i="9"/>
  <c r="B21" i="9"/>
  <c r="A21" i="9"/>
  <c r="J20" i="9"/>
  <c r="I20" i="9"/>
  <c r="H20" i="9"/>
  <c r="F20" i="9"/>
  <c r="E20" i="9"/>
  <c r="C20" i="9"/>
  <c r="B20" i="9"/>
  <c r="A20" i="9"/>
  <c r="J19" i="9"/>
  <c r="I19" i="9"/>
  <c r="H19" i="9"/>
  <c r="F19" i="9"/>
  <c r="E19" i="9"/>
  <c r="C19" i="9"/>
  <c r="B19" i="9"/>
  <c r="A19" i="9"/>
  <c r="J18" i="9"/>
  <c r="I18" i="9"/>
  <c r="H18" i="9"/>
  <c r="F18" i="9"/>
  <c r="E18" i="9"/>
  <c r="C18" i="9"/>
  <c r="B18" i="9"/>
  <c r="A18" i="9"/>
  <c r="J17" i="9"/>
  <c r="I17" i="9"/>
  <c r="H17" i="9"/>
  <c r="F17" i="9"/>
  <c r="E17" i="9"/>
  <c r="C17" i="9"/>
  <c r="B17" i="9"/>
  <c r="A17" i="9"/>
  <c r="J16" i="9"/>
  <c r="I16" i="9"/>
  <c r="H16" i="9"/>
  <c r="F16" i="9"/>
  <c r="E16" i="9"/>
  <c r="C16" i="9"/>
  <c r="B16" i="9"/>
  <c r="A16" i="9"/>
  <c r="J15" i="9"/>
  <c r="I15" i="9"/>
  <c r="H15" i="9"/>
  <c r="F15" i="9"/>
  <c r="E15" i="9"/>
  <c r="C15" i="9"/>
  <c r="B15" i="9"/>
  <c r="A15" i="9"/>
  <c r="J14" i="9"/>
  <c r="I14" i="9"/>
  <c r="H14" i="9"/>
  <c r="F14" i="9"/>
  <c r="E14" i="9"/>
  <c r="C14" i="9"/>
  <c r="B14" i="9"/>
  <c r="A14" i="9"/>
  <c r="J13" i="9"/>
  <c r="I13" i="9"/>
  <c r="H13" i="9"/>
  <c r="F13" i="9"/>
  <c r="E13" i="9"/>
  <c r="C13" i="9"/>
  <c r="B13" i="9"/>
  <c r="A13" i="9"/>
  <c r="J12" i="9"/>
  <c r="I12" i="9"/>
  <c r="H12" i="9"/>
  <c r="F12" i="9"/>
  <c r="E12" i="9"/>
  <c r="C12" i="9"/>
  <c r="B12" i="9"/>
  <c r="A12" i="9"/>
  <c r="J11" i="9"/>
  <c r="I11" i="9"/>
  <c r="H11" i="9"/>
  <c r="F11" i="9"/>
  <c r="E11" i="9"/>
  <c r="C11" i="9"/>
  <c r="B11" i="9"/>
  <c r="A11" i="9"/>
  <c r="J10" i="9"/>
  <c r="I10" i="9"/>
  <c r="H10" i="9"/>
  <c r="G10" i="9"/>
  <c r="F10" i="9"/>
  <c r="E10" i="9"/>
  <c r="C10" i="9"/>
  <c r="D10" i="9" s="1"/>
  <c r="B10" i="9"/>
  <c r="A10" i="9"/>
  <c r="I9" i="9"/>
  <c r="H9" i="9"/>
  <c r="G9" i="9"/>
  <c r="F9" i="9"/>
  <c r="E9" i="9"/>
  <c r="C9" i="9"/>
  <c r="B9" i="9"/>
  <c r="A9" i="9"/>
  <c r="D9" i="9" s="1"/>
  <c r="I8" i="9"/>
  <c r="H8" i="9"/>
  <c r="G8" i="9"/>
  <c r="F8" i="9"/>
  <c r="E8" i="9"/>
  <c r="C8" i="9"/>
  <c r="D8" i="9" s="1"/>
  <c r="B8" i="9"/>
  <c r="A8" i="9"/>
  <c r="I7" i="9"/>
  <c r="H7" i="9"/>
  <c r="G7" i="9"/>
  <c r="F7" i="9"/>
  <c r="E7" i="9"/>
  <c r="C7" i="9"/>
  <c r="B7" i="9"/>
  <c r="A7" i="9"/>
  <c r="I6" i="9"/>
  <c r="H6" i="9"/>
  <c r="G6" i="9"/>
  <c r="F6" i="9"/>
  <c r="E6" i="9"/>
  <c r="D6" i="9"/>
  <c r="C6" i="9"/>
  <c r="B6" i="9"/>
  <c r="A6" i="9"/>
  <c r="I5" i="9"/>
  <c r="H5" i="9"/>
  <c r="G5" i="9"/>
  <c r="F5" i="9"/>
  <c r="E5" i="9"/>
  <c r="C5" i="9"/>
  <c r="B5" i="9"/>
  <c r="A5" i="9"/>
  <c r="I4" i="9"/>
  <c r="H4" i="9"/>
  <c r="G4" i="9"/>
  <c r="F4" i="9"/>
  <c r="E4" i="9"/>
  <c r="C4" i="9"/>
  <c r="D4" i="9" s="1"/>
  <c r="B4" i="9"/>
  <c r="A4" i="9"/>
  <c r="I3" i="9"/>
  <c r="H3" i="9"/>
  <c r="G3" i="9"/>
  <c r="F3" i="9"/>
  <c r="E3" i="9"/>
  <c r="C3" i="9"/>
  <c r="B3" i="9"/>
  <c r="A3" i="9"/>
  <c r="I2" i="9"/>
  <c r="H2" i="9"/>
  <c r="G2" i="9"/>
  <c r="F2" i="9"/>
  <c r="E2" i="9"/>
  <c r="C2" i="9"/>
  <c r="B2" i="9"/>
  <c r="A2" i="9"/>
  <c r="J1" i="9"/>
  <c r="I1" i="9"/>
  <c r="H1" i="9"/>
  <c r="G1" i="9"/>
  <c r="F1" i="9"/>
  <c r="E1" i="9"/>
  <c r="C1" i="9"/>
  <c r="B1" i="9"/>
  <c r="A1" i="9"/>
  <c r="J31" i="8"/>
  <c r="I31" i="8"/>
  <c r="H31" i="8"/>
  <c r="F31" i="8"/>
  <c r="E31" i="8"/>
  <c r="C31" i="8"/>
  <c r="B31" i="8"/>
  <c r="A31" i="8"/>
  <c r="J30" i="8"/>
  <c r="I30" i="8"/>
  <c r="H30" i="8"/>
  <c r="F30" i="8"/>
  <c r="E30" i="8"/>
  <c r="C30" i="8"/>
  <c r="B30" i="8"/>
  <c r="A30" i="8"/>
  <c r="J29" i="8"/>
  <c r="I29" i="8"/>
  <c r="H29" i="8"/>
  <c r="F29" i="8"/>
  <c r="E29" i="8"/>
  <c r="C29" i="8"/>
  <c r="B29" i="8"/>
  <c r="A29" i="8"/>
  <c r="J28" i="8"/>
  <c r="I28" i="8"/>
  <c r="H28" i="8"/>
  <c r="F28" i="8"/>
  <c r="E28" i="8"/>
  <c r="C28" i="8"/>
  <c r="B28" i="8"/>
  <c r="A28" i="8"/>
  <c r="J27" i="8"/>
  <c r="I27" i="8"/>
  <c r="H27" i="8"/>
  <c r="F27" i="8"/>
  <c r="E27" i="8"/>
  <c r="C27" i="8"/>
  <c r="B27" i="8"/>
  <c r="A27" i="8"/>
  <c r="J26" i="8"/>
  <c r="I26" i="8"/>
  <c r="H26" i="8"/>
  <c r="F26" i="8"/>
  <c r="E26" i="8"/>
  <c r="C26" i="8"/>
  <c r="B26" i="8"/>
  <c r="A26" i="8"/>
  <c r="J25" i="8"/>
  <c r="I25" i="8"/>
  <c r="H25" i="8"/>
  <c r="F25" i="8"/>
  <c r="E25" i="8"/>
  <c r="C25" i="8"/>
  <c r="B25" i="8"/>
  <c r="A25" i="8"/>
  <c r="J24" i="8"/>
  <c r="I24" i="8"/>
  <c r="H24" i="8"/>
  <c r="F24" i="8"/>
  <c r="E24" i="8"/>
  <c r="C24" i="8"/>
  <c r="B24" i="8"/>
  <c r="A24" i="8"/>
  <c r="J23" i="8"/>
  <c r="I23" i="8"/>
  <c r="H23" i="8"/>
  <c r="F23" i="8"/>
  <c r="E23" i="8"/>
  <c r="C23" i="8"/>
  <c r="B23" i="8"/>
  <c r="A23" i="8"/>
  <c r="J22" i="8"/>
  <c r="I22" i="8"/>
  <c r="H22" i="8"/>
  <c r="F22" i="8"/>
  <c r="E22" i="8"/>
  <c r="C22" i="8"/>
  <c r="B22" i="8"/>
  <c r="A22" i="8"/>
  <c r="J21" i="8"/>
  <c r="I21" i="8"/>
  <c r="H21" i="8"/>
  <c r="F21" i="8"/>
  <c r="E21" i="8"/>
  <c r="C21" i="8"/>
  <c r="B21" i="8"/>
  <c r="A21" i="8"/>
  <c r="J20" i="8"/>
  <c r="I20" i="8"/>
  <c r="H20" i="8"/>
  <c r="F20" i="8"/>
  <c r="E20" i="8"/>
  <c r="C20" i="8"/>
  <c r="B20" i="8"/>
  <c r="A20" i="8"/>
  <c r="J19" i="8"/>
  <c r="I19" i="8"/>
  <c r="H19" i="8"/>
  <c r="F19" i="8"/>
  <c r="E19" i="8"/>
  <c r="C19" i="8"/>
  <c r="B19" i="8"/>
  <c r="A19" i="8"/>
  <c r="J18" i="8"/>
  <c r="I18" i="8"/>
  <c r="H18" i="8"/>
  <c r="F18" i="8"/>
  <c r="E18" i="8"/>
  <c r="C18" i="8"/>
  <c r="B18" i="8"/>
  <c r="A18" i="8"/>
  <c r="J17" i="8"/>
  <c r="I17" i="8"/>
  <c r="H17" i="8"/>
  <c r="F17" i="8"/>
  <c r="E17" i="8"/>
  <c r="C17" i="8"/>
  <c r="B17" i="8"/>
  <c r="A17" i="8"/>
  <c r="J16" i="8"/>
  <c r="I16" i="8"/>
  <c r="H16" i="8"/>
  <c r="F16" i="8"/>
  <c r="E16" i="8"/>
  <c r="C16" i="8"/>
  <c r="B16" i="8"/>
  <c r="A16" i="8"/>
  <c r="J15" i="8"/>
  <c r="I15" i="8"/>
  <c r="H15" i="8"/>
  <c r="F15" i="8"/>
  <c r="E15" i="8"/>
  <c r="C15" i="8"/>
  <c r="B15" i="8"/>
  <c r="A15" i="8"/>
  <c r="J14" i="8"/>
  <c r="I14" i="8"/>
  <c r="H14" i="8"/>
  <c r="F14" i="8"/>
  <c r="E14" i="8"/>
  <c r="C14" i="8"/>
  <c r="B14" i="8"/>
  <c r="A14" i="8"/>
  <c r="J13" i="8"/>
  <c r="I13" i="8"/>
  <c r="H13" i="8"/>
  <c r="F13" i="8"/>
  <c r="E13" i="8"/>
  <c r="C13" i="8"/>
  <c r="B13" i="8"/>
  <c r="A13" i="8"/>
  <c r="J12" i="8"/>
  <c r="I12" i="8"/>
  <c r="H12" i="8"/>
  <c r="F12" i="8"/>
  <c r="E12" i="8"/>
  <c r="C12" i="8"/>
  <c r="B12" i="8"/>
  <c r="A12" i="8"/>
  <c r="J10" i="8"/>
  <c r="I10" i="8"/>
  <c r="H10" i="8"/>
  <c r="G10" i="8"/>
  <c r="F10" i="8"/>
  <c r="E10" i="8"/>
  <c r="C10" i="8"/>
  <c r="B10" i="8"/>
  <c r="A10" i="8"/>
  <c r="J9" i="8"/>
  <c r="I9" i="8"/>
  <c r="H9" i="8"/>
  <c r="G9" i="8"/>
  <c r="F9" i="8"/>
  <c r="E9" i="8"/>
  <c r="C9" i="8"/>
  <c r="D9" i="8" s="1"/>
  <c r="B9" i="8"/>
  <c r="A9" i="8"/>
  <c r="J8" i="8"/>
  <c r="I8" i="8"/>
  <c r="H8" i="8"/>
  <c r="G8" i="8"/>
  <c r="F8" i="8"/>
  <c r="E8" i="8"/>
  <c r="C8" i="8"/>
  <c r="B8" i="8"/>
  <c r="A8" i="8"/>
  <c r="J7" i="8"/>
  <c r="I7" i="8"/>
  <c r="H7" i="8"/>
  <c r="G7" i="8"/>
  <c r="F7" i="8"/>
  <c r="E7" i="8"/>
  <c r="C7" i="8"/>
  <c r="B7" i="8"/>
  <c r="A7" i="8"/>
  <c r="I6" i="8"/>
  <c r="H6" i="8"/>
  <c r="G6" i="8"/>
  <c r="F6" i="8"/>
  <c r="E6" i="8"/>
  <c r="C6" i="8"/>
  <c r="B6" i="8"/>
  <c r="A6" i="8"/>
  <c r="D6" i="8" s="1"/>
  <c r="I5" i="8"/>
  <c r="H5" i="8"/>
  <c r="G5" i="8"/>
  <c r="F5" i="8"/>
  <c r="E5" i="8"/>
  <c r="C5" i="8"/>
  <c r="D5" i="8" s="1"/>
  <c r="B5" i="8"/>
  <c r="A5" i="8"/>
  <c r="I4" i="8"/>
  <c r="H4" i="8"/>
  <c r="G4" i="8"/>
  <c r="F4" i="8"/>
  <c r="E4" i="8"/>
  <c r="C4" i="8"/>
  <c r="B4" i="8"/>
  <c r="A4" i="8"/>
  <c r="D4" i="8" s="1"/>
  <c r="I3" i="8"/>
  <c r="H3" i="8"/>
  <c r="G3" i="8"/>
  <c r="F3" i="8"/>
  <c r="E3" i="8"/>
  <c r="C3" i="8"/>
  <c r="B3" i="8"/>
  <c r="A3" i="8"/>
  <c r="I2" i="8"/>
  <c r="H2" i="8"/>
  <c r="G2" i="8"/>
  <c r="F2" i="8"/>
  <c r="E2" i="8"/>
  <c r="C2" i="8"/>
  <c r="B2" i="8"/>
  <c r="A2" i="8"/>
  <c r="D2" i="8" s="1"/>
  <c r="J1" i="8"/>
  <c r="I1" i="8"/>
  <c r="H1" i="8"/>
  <c r="G1" i="8"/>
  <c r="F1" i="8"/>
  <c r="E1" i="8"/>
  <c r="C1" i="8"/>
  <c r="B1" i="8"/>
  <c r="A1" i="8"/>
  <c r="J31" i="7"/>
  <c r="I31" i="7"/>
  <c r="H31" i="7"/>
  <c r="F31" i="7"/>
  <c r="E31" i="7"/>
  <c r="C31" i="7"/>
  <c r="B31" i="7"/>
  <c r="A31" i="7"/>
  <c r="J30" i="7"/>
  <c r="I30" i="7"/>
  <c r="H30" i="7"/>
  <c r="F30" i="7"/>
  <c r="E30" i="7"/>
  <c r="C30" i="7"/>
  <c r="B30" i="7"/>
  <c r="A30" i="7"/>
  <c r="J29" i="7"/>
  <c r="I29" i="7"/>
  <c r="H29" i="7"/>
  <c r="F29" i="7"/>
  <c r="E29" i="7"/>
  <c r="C29" i="7"/>
  <c r="B29" i="7"/>
  <c r="A29" i="7"/>
  <c r="J28" i="7"/>
  <c r="I28" i="7"/>
  <c r="H28" i="7"/>
  <c r="F28" i="7"/>
  <c r="E28" i="7"/>
  <c r="C28" i="7"/>
  <c r="B28" i="7"/>
  <c r="A28" i="7"/>
  <c r="J27" i="7"/>
  <c r="I27" i="7"/>
  <c r="H27" i="7"/>
  <c r="F27" i="7"/>
  <c r="E27" i="7"/>
  <c r="C27" i="7"/>
  <c r="B27" i="7"/>
  <c r="A27" i="7"/>
  <c r="J26" i="7"/>
  <c r="I26" i="7"/>
  <c r="H26" i="7"/>
  <c r="F26" i="7"/>
  <c r="E26" i="7"/>
  <c r="C26" i="7"/>
  <c r="B26" i="7"/>
  <c r="A26" i="7"/>
  <c r="J25" i="7"/>
  <c r="I25" i="7"/>
  <c r="H25" i="7"/>
  <c r="F25" i="7"/>
  <c r="E25" i="7"/>
  <c r="C25" i="7"/>
  <c r="B25" i="7"/>
  <c r="A25" i="7"/>
  <c r="J24" i="7"/>
  <c r="I24" i="7"/>
  <c r="H24" i="7"/>
  <c r="F24" i="7"/>
  <c r="E24" i="7"/>
  <c r="C24" i="7"/>
  <c r="B24" i="7"/>
  <c r="A24" i="7"/>
  <c r="J23" i="7"/>
  <c r="I23" i="7"/>
  <c r="H23" i="7"/>
  <c r="F23" i="7"/>
  <c r="E23" i="7"/>
  <c r="C23" i="7"/>
  <c r="B23" i="7"/>
  <c r="A23" i="7"/>
  <c r="J22" i="7"/>
  <c r="I22" i="7"/>
  <c r="H22" i="7"/>
  <c r="F22" i="7"/>
  <c r="E22" i="7"/>
  <c r="C22" i="7"/>
  <c r="B22" i="7"/>
  <c r="A22" i="7"/>
  <c r="J21" i="7"/>
  <c r="I21" i="7"/>
  <c r="H21" i="7"/>
  <c r="F21" i="7"/>
  <c r="E21" i="7"/>
  <c r="C21" i="7"/>
  <c r="B21" i="7"/>
  <c r="A21" i="7"/>
  <c r="J20" i="7"/>
  <c r="I20" i="7"/>
  <c r="H20" i="7"/>
  <c r="F20" i="7"/>
  <c r="E20" i="7"/>
  <c r="C20" i="7"/>
  <c r="B20" i="7"/>
  <c r="A20" i="7"/>
  <c r="J19" i="7"/>
  <c r="I19" i="7"/>
  <c r="H19" i="7"/>
  <c r="F19" i="7"/>
  <c r="E19" i="7"/>
  <c r="C19" i="7"/>
  <c r="B19" i="7"/>
  <c r="A19" i="7"/>
  <c r="J18" i="7"/>
  <c r="I18" i="7"/>
  <c r="H18" i="7"/>
  <c r="F18" i="7"/>
  <c r="E18" i="7"/>
  <c r="C18" i="7"/>
  <c r="B18" i="7"/>
  <c r="A18" i="7"/>
  <c r="J17" i="7"/>
  <c r="I17" i="7"/>
  <c r="H17" i="7"/>
  <c r="F17" i="7"/>
  <c r="E17" i="7"/>
  <c r="C17" i="7"/>
  <c r="B17" i="7"/>
  <c r="A17" i="7"/>
  <c r="J16" i="7"/>
  <c r="I16" i="7"/>
  <c r="H16" i="7"/>
  <c r="F16" i="7"/>
  <c r="E16" i="7"/>
  <c r="C16" i="7"/>
  <c r="B16" i="7"/>
  <c r="A16" i="7"/>
  <c r="J15" i="7"/>
  <c r="I15" i="7"/>
  <c r="H15" i="7"/>
  <c r="F15" i="7"/>
  <c r="E15" i="7"/>
  <c r="C15" i="7"/>
  <c r="B15" i="7"/>
  <c r="A15" i="7"/>
  <c r="J14" i="7"/>
  <c r="I14" i="7"/>
  <c r="H14" i="7"/>
  <c r="F14" i="7"/>
  <c r="E14" i="7"/>
  <c r="C14" i="7"/>
  <c r="B14" i="7"/>
  <c r="A14" i="7"/>
  <c r="J13" i="7"/>
  <c r="I13" i="7"/>
  <c r="H13" i="7"/>
  <c r="F13" i="7"/>
  <c r="E13" i="7"/>
  <c r="C13" i="7"/>
  <c r="B13" i="7"/>
  <c r="A13" i="7"/>
  <c r="J12" i="7"/>
  <c r="I12" i="7"/>
  <c r="H12" i="7"/>
  <c r="F12" i="7"/>
  <c r="E12" i="7"/>
  <c r="C12" i="7"/>
  <c r="B12" i="7"/>
  <c r="A12" i="7"/>
  <c r="J11" i="7"/>
  <c r="I11" i="7"/>
  <c r="H11" i="7"/>
  <c r="I10" i="7"/>
  <c r="H10" i="7"/>
  <c r="G10" i="7"/>
  <c r="F10" i="7"/>
  <c r="E10" i="7"/>
  <c r="C10" i="7"/>
  <c r="D10" i="7" s="1"/>
  <c r="B10" i="7"/>
  <c r="A10" i="7"/>
  <c r="I9" i="7"/>
  <c r="H9" i="7"/>
  <c r="G9" i="7"/>
  <c r="F9" i="7"/>
  <c r="E9" i="7"/>
  <c r="C9" i="7"/>
  <c r="D9" i="7" s="1"/>
  <c r="B9" i="7"/>
  <c r="A9" i="7"/>
  <c r="I8" i="7"/>
  <c r="H8" i="7"/>
  <c r="G8" i="7"/>
  <c r="F8" i="7"/>
  <c r="E8" i="7"/>
  <c r="C8" i="7"/>
  <c r="B8" i="7"/>
  <c r="A8" i="7"/>
  <c r="I7" i="7"/>
  <c r="H7" i="7"/>
  <c r="G7" i="7"/>
  <c r="F7" i="7"/>
  <c r="E7" i="7"/>
  <c r="C7" i="7"/>
  <c r="B7" i="7"/>
  <c r="A7" i="7"/>
  <c r="I6" i="7"/>
  <c r="H6" i="7"/>
  <c r="G6" i="7"/>
  <c r="F6" i="7"/>
  <c r="E6" i="7"/>
  <c r="C6" i="7"/>
  <c r="B6" i="7"/>
  <c r="A6" i="7"/>
  <c r="I5" i="7"/>
  <c r="H5" i="7"/>
  <c r="G5" i="7"/>
  <c r="F5" i="7"/>
  <c r="E5" i="7"/>
  <c r="C5" i="7"/>
  <c r="B5" i="7"/>
  <c r="A5" i="7"/>
  <c r="I4" i="7"/>
  <c r="H4" i="7"/>
  <c r="G4" i="7"/>
  <c r="F4" i="7"/>
  <c r="E4" i="7"/>
  <c r="C4" i="7"/>
  <c r="B4" i="7"/>
  <c r="A4" i="7"/>
  <c r="I3" i="7"/>
  <c r="H3" i="7"/>
  <c r="G3" i="7"/>
  <c r="F3" i="7"/>
  <c r="E3" i="7"/>
  <c r="C3" i="7"/>
  <c r="B3" i="7"/>
  <c r="A3" i="7"/>
  <c r="D3" i="7" s="1"/>
  <c r="I2" i="7"/>
  <c r="H2" i="7"/>
  <c r="G2" i="7"/>
  <c r="F2" i="7"/>
  <c r="E2" i="7"/>
  <c r="C2" i="7"/>
  <c r="B2" i="7"/>
  <c r="A2" i="7"/>
  <c r="D2" i="7" s="1"/>
  <c r="J1" i="7"/>
  <c r="I1" i="7"/>
  <c r="H1" i="7"/>
  <c r="G1" i="7"/>
  <c r="F1" i="7"/>
  <c r="E1" i="7"/>
  <c r="C1" i="7"/>
  <c r="B1" i="7"/>
  <c r="A1" i="7"/>
  <c r="J31" i="6"/>
  <c r="I31" i="6"/>
  <c r="H31" i="6"/>
  <c r="F31" i="6"/>
  <c r="E31" i="6"/>
  <c r="C31" i="6"/>
  <c r="B31" i="6"/>
  <c r="A31" i="6"/>
  <c r="J30" i="6"/>
  <c r="I30" i="6"/>
  <c r="H30" i="6"/>
  <c r="F30" i="6"/>
  <c r="E30" i="6"/>
  <c r="C30" i="6"/>
  <c r="B30" i="6"/>
  <c r="A30" i="6"/>
  <c r="J29" i="6"/>
  <c r="I29" i="6"/>
  <c r="H29" i="6"/>
  <c r="F29" i="6"/>
  <c r="E29" i="6"/>
  <c r="C29" i="6"/>
  <c r="B29" i="6"/>
  <c r="A29" i="6"/>
  <c r="J28" i="6"/>
  <c r="I28" i="6"/>
  <c r="H28" i="6"/>
  <c r="F28" i="6"/>
  <c r="E28" i="6"/>
  <c r="C28" i="6"/>
  <c r="B28" i="6"/>
  <c r="A28" i="6"/>
  <c r="J27" i="6"/>
  <c r="I27" i="6"/>
  <c r="H27" i="6"/>
  <c r="F27" i="6"/>
  <c r="E27" i="6"/>
  <c r="C27" i="6"/>
  <c r="B27" i="6"/>
  <c r="A27" i="6"/>
  <c r="J26" i="6"/>
  <c r="I26" i="6"/>
  <c r="H26" i="6"/>
  <c r="F26" i="6"/>
  <c r="E26" i="6"/>
  <c r="C26" i="6"/>
  <c r="B26" i="6"/>
  <c r="A26" i="6"/>
  <c r="J25" i="6"/>
  <c r="I25" i="6"/>
  <c r="H25" i="6"/>
  <c r="F25" i="6"/>
  <c r="E25" i="6"/>
  <c r="C25" i="6"/>
  <c r="B25" i="6"/>
  <c r="A25" i="6"/>
  <c r="J24" i="6"/>
  <c r="I24" i="6"/>
  <c r="H24" i="6"/>
  <c r="F24" i="6"/>
  <c r="E24" i="6"/>
  <c r="C24" i="6"/>
  <c r="B24" i="6"/>
  <c r="A24" i="6"/>
  <c r="J23" i="6"/>
  <c r="I23" i="6"/>
  <c r="H23" i="6"/>
  <c r="F23" i="6"/>
  <c r="E23" i="6"/>
  <c r="C23" i="6"/>
  <c r="B23" i="6"/>
  <c r="A23" i="6"/>
  <c r="J22" i="6"/>
  <c r="I22" i="6"/>
  <c r="H22" i="6"/>
  <c r="F22" i="6"/>
  <c r="E22" i="6"/>
  <c r="C22" i="6"/>
  <c r="B22" i="6"/>
  <c r="A22" i="6"/>
  <c r="J21" i="6"/>
  <c r="I21" i="6"/>
  <c r="H21" i="6"/>
  <c r="F21" i="6"/>
  <c r="E21" i="6"/>
  <c r="C21" i="6"/>
  <c r="B21" i="6"/>
  <c r="A21" i="6"/>
  <c r="J20" i="6"/>
  <c r="I20" i="6"/>
  <c r="H20" i="6"/>
  <c r="F20" i="6"/>
  <c r="E20" i="6"/>
  <c r="C20" i="6"/>
  <c r="B20" i="6"/>
  <c r="A20" i="6"/>
  <c r="J19" i="6"/>
  <c r="I19" i="6"/>
  <c r="H19" i="6"/>
  <c r="F19" i="6"/>
  <c r="E19" i="6"/>
  <c r="C19" i="6"/>
  <c r="B19" i="6"/>
  <c r="A19" i="6"/>
  <c r="J18" i="6"/>
  <c r="I18" i="6"/>
  <c r="H18" i="6"/>
  <c r="F18" i="6"/>
  <c r="E18" i="6"/>
  <c r="C18" i="6"/>
  <c r="B18" i="6"/>
  <c r="A18" i="6"/>
  <c r="J17" i="6"/>
  <c r="I17" i="6"/>
  <c r="H17" i="6"/>
  <c r="F17" i="6"/>
  <c r="E17" i="6"/>
  <c r="C17" i="6"/>
  <c r="B17" i="6"/>
  <c r="A17" i="6"/>
  <c r="J16" i="6"/>
  <c r="I16" i="6"/>
  <c r="H16" i="6"/>
  <c r="F16" i="6"/>
  <c r="E16" i="6"/>
  <c r="C16" i="6"/>
  <c r="B16" i="6"/>
  <c r="A16" i="6"/>
  <c r="J15" i="6"/>
  <c r="I15" i="6"/>
  <c r="H15" i="6"/>
  <c r="F15" i="6"/>
  <c r="E15" i="6"/>
  <c r="C15" i="6"/>
  <c r="B15" i="6"/>
  <c r="A15" i="6"/>
  <c r="J14" i="6"/>
  <c r="I14" i="6"/>
  <c r="H14" i="6"/>
  <c r="F14" i="6"/>
  <c r="E14" i="6"/>
  <c r="C14" i="6"/>
  <c r="B14" i="6"/>
  <c r="A14" i="6"/>
  <c r="J13" i="6"/>
  <c r="I13" i="6"/>
  <c r="H13" i="6"/>
  <c r="F13" i="6"/>
  <c r="E13" i="6"/>
  <c r="C13" i="6"/>
  <c r="B13" i="6"/>
  <c r="A13" i="6"/>
  <c r="J12" i="6"/>
  <c r="I12" i="6"/>
  <c r="H12" i="6"/>
  <c r="F12" i="6"/>
  <c r="E12" i="6"/>
  <c r="C12" i="6"/>
  <c r="B12" i="6"/>
  <c r="A12" i="6"/>
  <c r="J11" i="6"/>
  <c r="I11" i="6"/>
  <c r="I10" i="6"/>
  <c r="H10" i="6"/>
  <c r="G10" i="6"/>
  <c r="F10" i="6"/>
  <c r="E10" i="6"/>
  <c r="C10" i="6"/>
  <c r="B10" i="6"/>
  <c r="A10" i="6"/>
  <c r="I9" i="6"/>
  <c r="H9" i="6"/>
  <c r="G9" i="6"/>
  <c r="F9" i="6"/>
  <c r="E9" i="6"/>
  <c r="C9" i="6"/>
  <c r="D9" i="6" s="1"/>
  <c r="B9" i="6"/>
  <c r="A9" i="6"/>
  <c r="I8" i="6"/>
  <c r="H8" i="6"/>
  <c r="G8" i="6"/>
  <c r="F8" i="6"/>
  <c r="E8" i="6"/>
  <c r="C8" i="6"/>
  <c r="B8" i="6"/>
  <c r="A8" i="6"/>
  <c r="I7" i="6"/>
  <c r="H7" i="6"/>
  <c r="G7" i="6"/>
  <c r="F7" i="6"/>
  <c r="E7" i="6"/>
  <c r="C7" i="6"/>
  <c r="B7" i="6"/>
  <c r="A7" i="6"/>
  <c r="D7" i="6" s="1"/>
  <c r="I6" i="6"/>
  <c r="H6" i="6"/>
  <c r="G6" i="6"/>
  <c r="F6" i="6"/>
  <c r="E6" i="6"/>
  <c r="C6" i="6"/>
  <c r="B6" i="6"/>
  <c r="A6" i="6"/>
  <c r="I5" i="6"/>
  <c r="H5" i="6"/>
  <c r="G5" i="6"/>
  <c r="F5" i="6"/>
  <c r="E5" i="6"/>
  <c r="C5" i="6"/>
  <c r="D5" i="6" s="1"/>
  <c r="B5" i="6"/>
  <c r="A5" i="6"/>
  <c r="I4" i="6"/>
  <c r="H4" i="6"/>
  <c r="G4" i="6"/>
  <c r="F4" i="6"/>
  <c r="E4" i="6"/>
  <c r="C4" i="6"/>
  <c r="B4" i="6"/>
  <c r="A4" i="6"/>
  <c r="I3" i="6"/>
  <c r="H3" i="6"/>
  <c r="G3" i="6"/>
  <c r="F3" i="6"/>
  <c r="E3" i="6"/>
  <c r="C3" i="6"/>
  <c r="B3" i="6"/>
  <c r="A3" i="6"/>
  <c r="I2" i="6"/>
  <c r="H2" i="6"/>
  <c r="G2" i="6"/>
  <c r="F2" i="6"/>
  <c r="E2" i="6"/>
  <c r="C2" i="6"/>
  <c r="B2" i="6"/>
  <c r="A2" i="6"/>
  <c r="J1" i="6"/>
  <c r="I1" i="6"/>
  <c r="H1" i="6"/>
  <c r="G1" i="6"/>
  <c r="F1" i="6"/>
  <c r="E1" i="6"/>
  <c r="C1" i="6"/>
  <c r="B1" i="6"/>
  <c r="A1" i="6"/>
  <c r="J31" i="5"/>
  <c r="I31" i="5"/>
  <c r="H31" i="5"/>
  <c r="F31" i="5"/>
  <c r="E31" i="5"/>
  <c r="C31" i="5"/>
  <c r="B31" i="5"/>
  <c r="A31" i="5"/>
  <c r="J30" i="5"/>
  <c r="I30" i="5"/>
  <c r="H30" i="5"/>
  <c r="F30" i="5"/>
  <c r="E30" i="5"/>
  <c r="C30" i="5"/>
  <c r="B30" i="5"/>
  <c r="A30" i="5"/>
  <c r="J29" i="5"/>
  <c r="I29" i="5"/>
  <c r="H29" i="5"/>
  <c r="F29" i="5"/>
  <c r="E29" i="5"/>
  <c r="C29" i="5"/>
  <c r="B29" i="5"/>
  <c r="A29" i="5"/>
  <c r="J28" i="5"/>
  <c r="I28" i="5"/>
  <c r="H28" i="5"/>
  <c r="F28" i="5"/>
  <c r="E28" i="5"/>
  <c r="C28" i="5"/>
  <c r="B28" i="5"/>
  <c r="A28" i="5"/>
  <c r="J27" i="5"/>
  <c r="I27" i="5"/>
  <c r="H27" i="5"/>
  <c r="F27" i="5"/>
  <c r="E27" i="5"/>
  <c r="C27" i="5"/>
  <c r="B27" i="5"/>
  <c r="A27" i="5"/>
  <c r="J26" i="5"/>
  <c r="I26" i="5"/>
  <c r="H26" i="5"/>
  <c r="F26" i="5"/>
  <c r="E26" i="5"/>
  <c r="C26" i="5"/>
  <c r="B26" i="5"/>
  <c r="A26" i="5"/>
  <c r="J25" i="5"/>
  <c r="I25" i="5"/>
  <c r="H25" i="5"/>
  <c r="F25" i="5"/>
  <c r="E25" i="5"/>
  <c r="C25" i="5"/>
  <c r="B25" i="5"/>
  <c r="A25" i="5"/>
  <c r="J24" i="5"/>
  <c r="I24" i="5"/>
  <c r="H24" i="5"/>
  <c r="F24" i="5"/>
  <c r="E24" i="5"/>
  <c r="C24" i="5"/>
  <c r="B24" i="5"/>
  <c r="A24" i="5"/>
  <c r="J23" i="5"/>
  <c r="I23" i="5"/>
  <c r="H23" i="5"/>
  <c r="F23" i="5"/>
  <c r="E23" i="5"/>
  <c r="C23" i="5"/>
  <c r="B23" i="5"/>
  <c r="A23" i="5"/>
  <c r="J22" i="5"/>
  <c r="I22" i="5"/>
  <c r="H22" i="5"/>
  <c r="F22" i="5"/>
  <c r="E22" i="5"/>
  <c r="C22" i="5"/>
  <c r="B22" i="5"/>
  <c r="A22" i="5"/>
  <c r="J21" i="5"/>
  <c r="I21" i="5"/>
  <c r="H21" i="5"/>
  <c r="F21" i="5"/>
  <c r="E21" i="5"/>
  <c r="C21" i="5"/>
  <c r="B21" i="5"/>
  <c r="A21" i="5"/>
  <c r="J20" i="5"/>
  <c r="I20" i="5"/>
  <c r="H20" i="5"/>
  <c r="F20" i="5"/>
  <c r="E20" i="5"/>
  <c r="C20" i="5"/>
  <c r="B20" i="5"/>
  <c r="A20" i="5"/>
  <c r="J19" i="5"/>
  <c r="I19" i="5"/>
  <c r="H19" i="5"/>
  <c r="F19" i="5"/>
  <c r="E19" i="5"/>
  <c r="C19" i="5"/>
  <c r="B19" i="5"/>
  <c r="A19" i="5"/>
  <c r="J18" i="5"/>
  <c r="I18" i="5"/>
  <c r="H18" i="5"/>
  <c r="F18" i="5"/>
  <c r="E18" i="5"/>
  <c r="C18" i="5"/>
  <c r="B18" i="5"/>
  <c r="A18" i="5"/>
  <c r="J17" i="5"/>
  <c r="I17" i="5"/>
  <c r="H17" i="5"/>
  <c r="F17" i="5"/>
  <c r="E17" i="5"/>
  <c r="C17" i="5"/>
  <c r="B17" i="5"/>
  <c r="A17" i="5"/>
  <c r="J16" i="5"/>
  <c r="I16" i="5"/>
  <c r="H16" i="5"/>
  <c r="F16" i="5"/>
  <c r="E16" i="5"/>
  <c r="C16" i="5"/>
  <c r="B16" i="5"/>
  <c r="A16" i="5"/>
  <c r="J15" i="5"/>
  <c r="I15" i="5"/>
  <c r="H15" i="5"/>
  <c r="F15" i="5"/>
  <c r="E15" i="5"/>
  <c r="C15" i="5"/>
  <c r="B15" i="5"/>
  <c r="A15" i="5"/>
  <c r="J14" i="5"/>
  <c r="I14" i="5"/>
  <c r="H14" i="5"/>
  <c r="F14" i="5"/>
  <c r="E14" i="5"/>
  <c r="C14" i="5"/>
  <c r="B14" i="5"/>
  <c r="A14" i="5"/>
  <c r="J13" i="5"/>
  <c r="I13" i="5"/>
  <c r="H13" i="5"/>
  <c r="F13" i="5"/>
  <c r="E13" i="5"/>
  <c r="C13" i="5"/>
  <c r="B13" i="5"/>
  <c r="A13" i="5"/>
  <c r="J12" i="5"/>
  <c r="I12" i="5"/>
  <c r="H12" i="5"/>
  <c r="F12" i="5"/>
  <c r="E12" i="5"/>
  <c r="C12" i="5"/>
  <c r="B12" i="5"/>
  <c r="A12" i="5"/>
  <c r="J11" i="5"/>
  <c r="I10" i="5"/>
  <c r="H10" i="5"/>
  <c r="G10" i="5"/>
  <c r="F10" i="5"/>
  <c r="E10" i="5"/>
  <c r="C10" i="5"/>
  <c r="B10" i="5"/>
  <c r="A10" i="5"/>
  <c r="D10" i="5" s="1"/>
  <c r="I9" i="5"/>
  <c r="H9" i="5"/>
  <c r="G9" i="5"/>
  <c r="F9" i="5"/>
  <c r="E9" i="5"/>
  <c r="C9" i="5"/>
  <c r="D9" i="5" s="1"/>
  <c r="B9" i="5"/>
  <c r="A9" i="5"/>
  <c r="I8" i="5"/>
  <c r="H8" i="5"/>
  <c r="G8" i="5"/>
  <c r="F8" i="5"/>
  <c r="E8" i="5"/>
  <c r="C8" i="5"/>
  <c r="B8" i="5"/>
  <c r="A8" i="5"/>
  <c r="D8" i="5" s="1"/>
  <c r="I7" i="5"/>
  <c r="H7" i="5"/>
  <c r="G7" i="5"/>
  <c r="F7" i="5"/>
  <c r="E7" i="5"/>
  <c r="C7" i="5"/>
  <c r="B7" i="5"/>
  <c r="A7" i="5"/>
  <c r="I6" i="5"/>
  <c r="H6" i="5"/>
  <c r="G6" i="5"/>
  <c r="F6" i="5"/>
  <c r="E6" i="5"/>
  <c r="C6" i="5"/>
  <c r="B6" i="5"/>
  <c r="A6" i="5"/>
  <c r="D6" i="5" s="1"/>
  <c r="I5" i="5"/>
  <c r="H5" i="5"/>
  <c r="G5" i="5"/>
  <c r="F5" i="5"/>
  <c r="E5" i="5"/>
  <c r="C5" i="5"/>
  <c r="B5" i="5"/>
  <c r="A5" i="5"/>
  <c r="I4" i="5"/>
  <c r="H4" i="5"/>
  <c r="G4" i="5"/>
  <c r="F4" i="5"/>
  <c r="E4" i="5"/>
  <c r="C4" i="5"/>
  <c r="B4" i="5"/>
  <c r="A4" i="5"/>
  <c r="D4" i="5" s="1"/>
  <c r="I3" i="5"/>
  <c r="H3" i="5"/>
  <c r="G3" i="5"/>
  <c r="F3" i="5"/>
  <c r="E3" i="5"/>
  <c r="C3" i="5"/>
  <c r="B3" i="5"/>
  <c r="A3" i="5"/>
  <c r="I2" i="5"/>
  <c r="H2" i="5"/>
  <c r="G2" i="5"/>
  <c r="F2" i="5"/>
  <c r="E2" i="5"/>
  <c r="C2" i="5"/>
  <c r="D2" i="5" s="1"/>
  <c r="B2" i="5"/>
  <c r="A2" i="5"/>
  <c r="J1" i="5"/>
  <c r="I1" i="5"/>
  <c r="H1" i="5"/>
  <c r="E1" i="5"/>
  <c r="C1" i="5"/>
  <c r="B1" i="5"/>
  <c r="A1" i="5"/>
  <c r="I34" i="4"/>
  <c r="F34" i="4"/>
  <c r="C34" i="4"/>
  <c r="B34" i="4"/>
  <c r="A34" i="4"/>
  <c r="I33" i="4"/>
  <c r="F33" i="4"/>
  <c r="C33" i="4"/>
  <c r="B33" i="4"/>
  <c r="A33" i="4"/>
  <c r="I32" i="4"/>
  <c r="F32" i="4"/>
  <c r="C32" i="4"/>
  <c r="B32" i="4"/>
  <c r="A32" i="4"/>
  <c r="I31" i="4"/>
  <c r="F31" i="4"/>
  <c r="C31" i="4"/>
  <c r="B31" i="4"/>
  <c r="A31" i="4"/>
  <c r="I30" i="4"/>
  <c r="F30" i="4"/>
  <c r="C30" i="4"/>
  <c r="B30" i="4"/>
  <c r="A30" i="4"/>
  <c r="I29" i="4"/>
  <c r="F29" i="4"/>
  <c r="C29" i="4"/>
  <c r="B29" i="4"/>
  <c r="A29" i="4"/>
  <c r="I28" i="4"/>
  <c r="F28" i="4"/>
  <c r="C28" i="4"/>
  <c r="B28" i="4"/>
  <c r="A28" i="4"/>
  <c r="I27" i="4"/>
  <c r="F27" i="4"/>
  <c r="C27" i="4"/>
  <c r="B27" i="4"/>
  <c r="A27" i="4"/>
  <c r="I26" i="4"/>
  <c r="F26" i="4"/>
  <c r="C26" i="4"/>
  <c r="B26" i="4"/>
  <c r="A26" i="4"/>
  <c r="I25" i="4"/>
  <c r="F25" i="4"/>
  <c r="C25" i="4"/>
  <c r="B25" i="4"/>
  <c r="A25" i="4"/>
  <c r="I24" i="4"/>
  <c r="F24" i="4"/>
  <c r="C24" i="4"/>
  <c r="B24" i="4"/>
  <c r="A24" i="4"/>
  <c r="I23" i="4"/>
  <c r="F23" i="4"/>
  <c r="C23" i="4"/>
  <c r="B23" i="4"/>
  <c r="A23" i="4"/>
  <c r="I22" i="4"/>
  <c r="F22" i="4"/>
  <c r="C22" i="4"/>
  <c r="B22" i="4"/>
  <c r="A22" i="4"/>
  <c r="I21" i="4"/>
  <c r="F21" i="4"/>
  <c r="C21" i="4"/>
  <c r="B21" i="4"/>
  <c r="A21" i="4"/>
  <c r="I20" i="4"/>
  <c r="F20" i="4"/>
  <c r="C20" i="4"/>
  <c r="B20" i="4"/>
  <c r="A20" i="4"/>
  <c r="I19" i="4"/>
  <c r="F19" i="4"/>
  <c r="C19" i="4"/>
  <c r="B19" i="4"/>
  <c r="A19" i="4"/>
  <c r="I18" i="4"/>
  <c r="F18" i="4"/>
  <c r="C18" i="4"/>
  <c r="B18" i="4"/>
  <c r="A18" i="4"/>
  <c r="I17" i="4"/>
  <c r="I11" i="4"/>
  <c r="H11" i="4"/>
  <c r="E11" i="4"/>
  <c r="C11" i="4"/>
  <c r="B11" i="4"/>
  <c r="A11" i="4"/>
  <c r="I10" i="4"/>
  <c r="H10" i="4"/>
  <c r="E10" i="4"/>
  <c r="C10" i="4"/>
  <c r="B10" i="4"/>
  <c r="A10" i="4"/>
  <c r="I9" i="4"/>
  <c r="H9" i="4"/>
  <c r="E9" i="4"/>
  <c r="C9" i="4"/>
  <c r="B9" i="4"/>
  <c r="A9" i="4"/>
  <c r="D9" i="4" s="1"/>
  <c r="I8" i="4"/>
  <c r="H8" i="4"/>
  <c r="E8" i="4"/>
  <c r="C8" i="4"/>
  <c r="B8" i="4"/>
  <c r="A8" i="4"/>
  <c r="I7" i="4"/>
  <c r="H7" i="4"/>
  <c r="E7" i="4"/>
  <c r="C7" i="4"/>
  <c r="B7" i="4"/>
  <c r="A7" i="4"/>
  <c r="D7" i="4" s="1"/>
  <c r="I6" i="4"/>
  <c r="H6" i="4"/>
  <c r="E6" i="4"/>
  <c r="C6" i="4"/>
  <c r="B6" i="4"/>
  <c r="A6" i="4"/>
  <c r="I5" i="4"/>
  <c r="H5" i="4"/>
  <c r="F5" i="4"/>
  <c r="E5" i="4"/>
  <c r="C5" i="4"/>
  <c r="D5" i="4" s="1"/>
  <c r="B5" i="4"/>
  <c r="I4" i="4"/>
  <c r="H4" i="4"/>
  <c r="F4" i="4"/>
  <c r="E4" i="4"/>
  <c r="C4" i="4"/>
  <c r="D4" i="4" s="1"/>
  <c r="B4" i="4"/>
  <c r="I3" i="4"/>
  <c r="F3" i="4"/>
  <c r="E3" i="4"/>
  <c r="C3" i="4"/>
  <c r="D3" i="4" s="1"/>
  <c r="B3" i="4"/>
  <c r="I1" i="4"/>
  <c r="H1" i="4"/>
  <c r="G1" i="4"/>
  <c r="F1" i="4"/>
  <c r="E1" i="4"/>
  <c r="C1" i="4"/>
  <c r="B1" i="4"/>
  <c r="A1" i="4"/>
  <c r="E33" i="3"/>
  <c r="C33" i="3"/>
  <c r="B33" i="3"/>
  <c r="A33" i="3"/>
  <c r="E32" i="3"/>
  <c r="C32" i="3"/>
  <c r="B32" i="3"/>
  <c r="A32" i="3"/>
  <c r="E31" i="3"/>
  <c r="C31" i="3"/>
  <c r="B31" i="3"/>
  <c r="A31" i="3"/>
  <c r="E30" i="3"/>
  <c r="C30" i="3"/>
  <c r="B30" i="3"/>
  <c r="A30" i="3"/>
  <c r="E29" i="3"/>
  <c r="C29" i="3"/>
  <c r="B29" i="3"/>
  <c r="A29" i="3"/>
  <c r="E28" i="3"/>
  <c r="C28" i="3"/>
  <c r="B28" i="3"/>
  <c r="A28" i="3"/>
  <c r="E27" i="3"/>
  <c r="C27" i="3"/>
  <c r="B27" i="3"/>
  <c r="A27" i="3"/>
  <c r="E26" i="3"/>
  <c r="C26" i="3"/>
  <c r="B26" i="3"/>
  <c r="A26" i="3"/>
  <c r="E25" i="3"/>
  <c r="C25" i="3"/>
  <c r="B25" i="3"/>
  <c r="A25" i="3"/>
  <c r="E24" i="3"/>
  <c r="C24" i="3"/>
  <c r="B24" i="3"/>
  <c r="A24" i="3"/>
  <c r="E23" i="3"/>
  <c r="C23" i="3"/>
  <c r="B23" i="3"/>
  <c r="A23" i="3"/>
  <c r="E22" i="3"/>
  <c r="C22" i="3"/>
  <c r="B22" i="3"/>
  <c r="A22" i="3"/>
  <c r="E21" i="3"/>
  <c r="C21" i="3"/>
  <c r="B21" i="3"/>
  <c r="A21" i="3"/>
  <c r="E20" i="3"/>
  <c r="C20" i="3"/>
  <c r="B20" i="3"/>
  <c r="A20" i="3"/>
  <c r="E19" i="3"/>
  <c r="C19" i="3"/>
  <c r="B19" i="3"/>
  <c r="A19" i="3"/>
  <c r="E18" i="3"/>
  <c r="C18" i="3"/>
  <c r="B18" i="3"/>
  <c r="A18" i="3"/>
  <c r="E17" i="3"/>
  <c r="C17" i="3"/>
  <c r="B17" i="3"/>
  <c r="A17" i="3"/>
  <c r="E10" i="3"/>
  <c r="C10" i="3"/>
  <c r="B10" i="3"/>
  <c r="A10" i="3"/>
  <c r="D10" i="3" s="1"/>
  <c r="E9" i="3"/>
  <c r="C9" i="3"/>
  <c r="D9" i="3" s="1"/>
  <c r="B9" i="3"/>
  <c r="A9" i="3"/>
  <c r="E8" i="3"/>
  <c r="C8" i="3"/>
  <c r="B8" i="3"/>
  <c r="A8" i="3"/>
  <c r="D8" i="3" s="1"/>
  <c r="E7" i="3"/>
  <c r="C7" i="3"/>
  <c r="D7" i="3" s="1"/>
  <c r="B7" i="3"/>
  <c r="A7" i="3"/>
  <c r="E6" i="3"/>
  <c r="C6" i="3"/>
  <c r="D6" i="3" s="1"/>
  <c r="B6" i="3"/>
  <c r="A6" i="3"/>
  <c r="E5" i="3"/>
  <c r="C5" i="3"/>
  <c r="B5" i="3"/>
  <c r="A5" i="3"/>
  <c r="E4" i="3"/>
  <c r="C4" i="3"/>
  <c r="D4" i="3" s="1"/>
  <c r="B4" i="3"/>
  <c r="E3" i="3"/>
  <c r="C3" i="3"/>
  <c r="D3" i="3" s="1"/>
  <c r="B3" i="3"/>
  <c r="E2" i="3"/>
  <c r="C2" i="3"/>
  <c r="D2" i="3" s="1"/>
  <c r="B2" i="3"/>
  <c r="C1" i="3"/>
  <c r="B1" i="3"/>
  <c r="A1" i="3"/>
  <c r="D190" i="1"/>
  <c r="G189" i="1"/>
  <c r="G11" i="4" s="1"/>
  <c r="F189" i="1"/>
  <c r="F11" i="4" s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1" i="1"/>
  <c r="G170" i="1"/>
  <c r="G10" i="4" s="1"/>
  <c r="F170" i="1"/>
  <c r="F10" i="4" s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2" i="1"/>
  <c r="G151" i="1"/>
  <c r="G9" i="4" s="1"/>
  <c r="F151" i="1"/>
  <c r="F9" i="4" s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3" i="1"/>
  <c r="G132" i="1"/>
  <c r="G8" i="4" s="1"/>
  <c r="F132" i="1"/>
  <c r="F8" i="4" s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4" i="1"/>
  <c r="G113" i="1"/>
  <c r="G7" i="4" s="1"/>
  <c r="F113" i="1"/>
  <c r="F7" i="4" s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5" i="1"/>
  <c r="G94" i="1"/>
  <c r="G6" i="4" s="1"/>
  <c r="F94" i="1"/>
  <c r="F6" i="4" s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6" i="1"/>
  <c r="G75" i="1"/>
  <c r="G5" i="4" s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57" i="1"/>
  <c r="G56" i="1"/>
  <c r="G4" i="4" s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38" i="1"/>
  <c r="G37" i="1"/>
  <c r="G3" i="4" s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7" i="9" l="1"/>
  <c r="D5" i="3"/>
  <c r="D6" i="6"/>
  <c r="D10" i="6"/>
  <c r="D10" i="8"/>
  <c r="D2" i="9"/>
  <c r="D9" i="10"/>
  <c r="D4" i="12"/>
  <c r="D3" i="5"/>
  <c r="D5" i="5"/>
  <c r="D7" i="5"/>
  <c r="D8" i="6"/>
  <c r="D3" i="8"/>
  <c r="D4" i="14"/>
  <c r="D3" i="17"/>
  <c r="D6" i="14"/>
  <c r="D5" i="17"/>
  <c r="D6" i="7"/>
  <c r="D8" i="7"/>
  <c r="D4" i="7"/>
  <c r="D11" i="4"/>
  <c r="D3" i="6"/>
  <c r="D7" i="8"/>
  <c r="D2" i="10"/>
  <c r="D6" i="11"/>
  <c r="D7" i="13"/>
  <c r="D3" i="15"/>
  <c r="D7" i="16"/>
  <c r="D6" i="4"/>
  <c r="D6" i="10"/>
  <c r="D5" i="18"/>
  <c r="D3" i="9"/>
  <c r="D5" i="9"/>
  <c r="D4" i="10"/>
  <c r="D8" i="10"/>
  <c r="D9" i="12"/>
  <c r="D9" i="15"/>
  <c r="D7" i="18"/>
  <c r="D5" i="7"/>
  <c r="D7" i="7"/>
  <c r="D8" i="8"/>
  <c r="D4" i="16"/>
  <c r="D2" i="6"/>
  <c r="D4" i="6"/>
  <c r="D2" i="15"/>
  <c r="D2" i="16"/>
  <c r="D6" i="16"/>
  <c r="D8" i="16"/>
  <c r="D10" i="4"/>
  <c r="D8" i="4"/>
</calcChain>
</file>

<file path=xl/sharedStrings.xml><?xml version="1.0" encoding="utf-8"?>
<sst xmlns="http://schemas.openxmlformats.org/spreadsheetml/2006/main" count="570" uniqueCount="71">
  <si>
    <t>2024-2025</t>
  </si>
  <si>
    <t>LSG</t>
  </si>
  <si>
    <t>UC3M</t>
  </si>
  <si>
    <t>Materia</t>
  </si>
  <si>
    <t>Presentados</t>
  </si>
  <si>
    <t>% LSG</t>
  </si>
  <si>
    <t>NM LSG EvAU</t>
  </si>
  <si>
    <t>NM LSG Cole</t>
  </si>
  <si>
    <t>% UC3M</t>
  </si>
  <si>
    <t>NM UC3M</t>
  </si>
  <si>
    <t>24-25</t>
  </si>
  <si>
    <t>Lengua</t>
  </si>
  <si>
    <t>Inglés</t>
  </si>
  <si>
    <t>Historia</t>
  </si>
  <si>
    <t>Mate</t>
  </si>
  <si>
    <t>Mate CCSS</t>
  </si>
  <si>
    <t>Física</t>
  </si>
  <si>
    <t>Química</t>
  </si>
  <si>
    <t>Biología</t>
  </si>
  <si>
    <t>Dibujo Técnico</t>
  </si>
  <si>
    <t>Economía</t>
  </si>
  <si>
    <t>H. Filosofía</t>
  </si>
  <si>
    <t>H. Arte</t>
  </si>
  <si>
    <t>Geografía</t>
  </si>
  <si>
    <t>Tecno e Ing</t>
  </si>
  <si>
    <t>Fase General</t>
  </si>
  <si>
    <t>Titulan</t>
  </si>
  <si>
    <t>2023-2024</t>
  </si>
  <si>
    <t>23-24</t>
  </si>
  <si>
    <t>Francés</t>
  </si>
  <si>
    <t>2022-2023</t>
  </si>
  <si>
    <t>22-23</t>
  </si>
  <si>
    <t>22-24</t>
  </si>
  <si>
    <t>2021-2022</t>
  </si>
  <si>
    <t>21-22</t>
  </si>
  <si>
    <t>2020-2021</t>
  </si>
  <si>
    <t>20-21</t>
  </si>
  <si>
    <t>2019-2020</t>
  </si>
  <si>
    <t>19-20</t>
  </si>
  <si>
    <t>2018-2019</t>
  </si>
  <si>
    <t>18-19</t>
  </si>
  <si>
    <t>2017-2018</t>
  </si>
  <si>
    <t>17-18</t>
  </si>
  <si>
    <t>2016-2017</t>
  </si>
  <si>
    <t>16-17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</si>
  <si>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</si>
  <si>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</si>
  <si>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</si>
  <si>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</si>
  <si>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</si>
  <si>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</si>
  <si>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</si>
  <si>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</si>
  <si>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</si>
  <si>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</si>
  <si>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</si>
  <si>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</si>
  <si>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% Titulados Bach</t>
  </si>
  <si>
    <t>%Aprobados EvAU</t>
  </si>
  <si>
    <t>Presentados EvAU</t>
  </si>
  <si>
    <t>Media EvAU Aprobados</t>
  </si>
  <si>
    <t>Media FG</t>
  </si>
  <si>
    <t>CAM</t>
  </si>
  <si>
    <t>Castilla</t>
  </si>
  <si>
    <t>IES Griñón</t>
  </si>
  <si>
    <t>Villa Griñón</t>
  </si>
  <si>
    <t>Catón</t>
  </si>
  <si>
    <t>IES Cubas</t>
  </si>
  <si>
    <t>25-26</t>
  </si>
  <si>
    <t>25-26(54)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</si>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</sst>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scheme val="minor"/>
    </font>
    <font>
      <sz val="8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sz val="9"/>
      <color rgb="FF000000"/>
      <name val="&quot;Google Sans Mono&quot;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>
      <alignment textRotation="90"/>
    </xf>
    <xf numFmtId="0" fontId="2" fillId="0" borderId="0" xfId="0" applyFont="1" applyAlignment="1">
      <alignment textRotation="90"/>
    </xf>
    <xf numFmtId="10" fontId="2" fillId="0" borderId="0" xfId="0" applyNumberFormat="1" applyFont="1" applyAlignment="1">
      <alignment textRotation="90"/>
    </xf>
    <xf numFmtId="3" fontId="3" fillId="0" borderId="0" xfId="0" applyNumberFormat="1" applyFont="1" applyAlignment="1"/>
    <xf numFmtId="10" fontId="3" fillId="0" borderId="0" xfId="0" applyNumberFormat="1" applyFont="1" applyAlignment="1"/>
    <xf numFmtId="0" fontId="3" fillId="0" borderId="0" xfId="0" applyFont="1" applyAlignment="1"/>
    <xf numFmtId="3" fontId="4" fillId="0" borderId="0" xfId="0" applyNumberFormat="1" applyFont="1" applyAlignment="1"/>
    <xf numFmtId="0" fontId="3" fillId="0" borderId="0" xfId="0" applyFont="1"/>
    <xf numFmtId="3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0" fontId="3" fillId="0" borderId="0" xfId="0" applyNumberFormat="1" applyFont="1"/>
    <xf numFmtId="164" fontId="3" fillId="0" borderId="0" xfId="0" applyNumberFormat="1" applyFont="1" applyAlignment="1"/>
    <xf numFmtId="3" fontId="2" fillId="0" borderId="0" xfId="0" applyNumberFormat="1" applyFont="1" applyAlignment="1"/>
    <xf numFmtId="3" fontId="2" fillId="0" borderId="0" xfId="0" applyNumberFormat="1" applyFont="1"/>
    <xf numFmtId="10" fontId="2" fillId="0" borderId="0" xfId="0" applyNumberFormat="1" applyFont="1"/>
    <xf numFmtId="0" fontId="2" fillId="0" borderId="4" xfId="0" applyFont="1" applyBorder="1" applyAlignment="1">
      <alignment textRotation="90"/>
    </xf>
    <xf numFmtId="0" fontId="2" fillId="0" borderId="5" xfId="0" applyFont="1" applyBorder="1" applyAlignment="1">
      <alignment textRotation="90"/>
    </xf>
    <xf numFmtId="0" fontId="6" fillId="0" borderId="4" xfId="0" applyFont="1" applyBorder="1" applyAlignment="1">
      <alignment textRotation="90"/>
    </xf>
    <xf numFmtId="0" fontId="6" fillId="0" borderId="0" xfId="0" applyFont="1" applyAlignment="1">
      <alignment textRotation="90"/>
    </xf>
    <xf numFmtId="0" fontId="6" fillId="0" borderId="5" xfId="0" applyFont="1" applyBorder="1" applyAlignment="1">
      <alignment textRotation="90"/>
    </xf>
    <xf numFmtId="0" fontId="2" fillId="0" borderId="4" xfId="0" applyFont="1" applyBorder="1" applyAlignment="1">
      <alignment horizontal="center" textRotation="90"/>
    </xf>
    <xf numFmtId="0" fontId="2" fillId="0" borderId="0" xfId="0" applyFont="1" applyAlignment="1">
      <alignment horizontal="center" textRotation="90"/>
    </xf>
    <xf numFmtId="0" fontId="6" fillId="0" borderId="4" xfId="0" applyFont="1" applyBorder="1" applyAlignment="1">
      <alignment textRotation="90"/>
    </xf>
    <xf numFmtId="0" fontId="2" fillId="0" borderId="4" xfId="0" applyFont="1" applyBorder="1" applyAlignment="1"/>
    <xf numFmtId="0" fontId="2" fillId="0" borderId="5" xfId="0" applyFont="1" applyBorder="1" applyAlignment="1"/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5" xfId="0" applyFont="1" applyBorder="1" applyAlignment="1">
      <alignment horizontal="right"/>
    </xf>
    <xf numFmtId="0" fontId="6" fillId="0" borderId="0" xfId="0" applyFont="1" applyAlignment="1"/>
    <xf numFmtId="0" fontId="6" fillId="0" borderId="4" xfId="0" applyFont="1" applyBorder="1" applyAlignment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4" xfId="0" applyFont="1" applyBorder="1"/>
    <xf numFmtId="0" fontId="6" fillId="0" borderId="4" xfId="0" applyFont="1" applyBorder="1" applyAlignment="1"/>
    <xf numFmtId="0" fontId="2" fillId="2" borderId="4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textRotation="90"/>
    </xf>
    <xf numFmtId="0" fontId="2" fillId="0" borderId="0" xfId="0" applyFont="1" applyAlignment="1">
      <alignment textRotation="90"/>
    </xf>
    <xf numFmtId="10" fontId="2" fillId="0" borderId="0" xfId="0" applyNumberFormat="1" applyFont="1" applyAlignment="1">
      <alignment textRotation="90"/>
    </xf>
    <xf numFmtId="10" fontId="7" fillId="3" borderId="0" xfId="0" applyNumberFormat="1" applyFont="1" applyFill="1"/>
    <xf numFmtId="2" fontId="2" fillId="0" borderId="0" xfId="0" applyNumberFormat="1" applyFont="1"/>
    <xf numFmtId="164" fontId="2" fillId="0" borderId="0" xfId="0" applyNumberFormat="1" applyFont="1"/>
    <xf numFmtId="0" fontId="6" fillId="0" borderId="0" xfId="0" applyFont="1" applyAlignment="1"/>
    <xf numFmtId="3" fontId="6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10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19-20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año'!$F$117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año'!$F$118:$F$132</c:f>
              <c:numCache>
                <c:formatCode>General</c:formatCode>
                <c:ptCount val="15"/>
                <c:pt idx="0">
                  <c:v>6.1550000000000002</c:v>
                </c:pt>
                <c:pt idx="1">
                  <c:v>6.86</c:v>
                </c:pt>
                <c:pt idx="2">
                  <c:v>5.64</c:v>
                </c:pt>
                <c:pt idx="3">
                  <c:v>7.556</c:v>
                </c:pt>
                <c:pt idx="4">
                  <c:v>6.3879999999999999</c:v>
                </c:pt>
                <c:pt idx="5">
                  <c:v>7.0460000000000003</c:v>
                </c:pt>
                <c:pt idx="6">
                  <c:v>6.0110000000000001</c:v>
                </c:pt>
                <c:pt idx="7">
                  <c:v>7.5</c:v>
                </c:pt>
                <c:pt idx="8">
                  <c:v>6.8570000000000002</c:v>
                </c:pt>
                <c:pt idx="9">
                  <c:v>7.577</c:v>
                </c:pt>
                <c:pt idx="10">
                  <c:v>6.4770000000000003</c:v>
                </c:pt>
                <c:pt idx="11">
                  <c:v>7.25</c:v>
                </c:pt>
                <c:pt idx="12">
                  <c:v>4.6500000000000004</c:v>
                </c:pt>
                <c:pt idx="13">
                  <c:v>9.625</c:v>
                </c:pt>
                <c:pt idx="14" formatCode="0.00">
                  <c:v>6.4415223880596999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0-44A6-9E37-8DF41C8C9E2B}"/>
            </c:ext>
          </c:extLst>
        </c:ser>
        <c:ser>
          <c:idx val="1"/>
          <c:order val="1"/>
          <c:tx>
            <c:strRef>
              <c:f>'Por año'!$I$117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año'!$I$118:$I$132</c:f>
              <c:numCache>
                <c:formatCode>General</c:formatCode>
                <c:ptCount val="15"/>
                <c:pt idx="0">
                  <c:v>6.3659999999999997</c:v>
                </c:pt>
                <c:pt idx="1">
                  <c:v>6.7009999999999996</c:v>
                </c:pt>
                <c:pt idx="2">
                  <c:v>6.0890000000000004</c:v>
                </c:pt>
                <c:pt idx="3">
                  <c:v>6.6559999999999997</c:v>
                </c:pt>
                <c:pt idx="4">
                  <c:v>5.3310000000000004</c:v>
                </c:pt>
                <c:pt idx="5">
                  <c:v>7.0810000000000004</c:v>
                </c:pt>
                <c:pt idx="6">
                  <c:v>6.1040000000000001</c:v>
                </c:pt>
                <c:pt idx="7">
                  <c:v>6.3259999999999996</c:v>
                </c:pt>
                <c:pt idx="8">
                  <c:v>7.0229999999999997</c:v>
                </c:pt>
                <c:pt idx="9">
                  <c:v>6.5250000000000004</c:v>
                </c:pt>
                <c:pt idx="10">
                  <c:v>6.9820000000000002</c:v>
                </c:pt>
                <c:pt idx="11">
                  <c:v>5.5209999999999999</c:v>
                </c:pt>
                <c:pt idx="12">
                  <c:v>5.7060000000000004</c:v>
                </c:pt>
                <c:pt idx="13">
                  <c:v>7.2220000000000004</c:v>
                </c:pt>
                <c:pt idx="14">
                  <c:v>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0-44A6-9E37-8DF41C8C9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98477"/>
        <c:axId val="978197926"/>
      </c:areaChart>
      <c:catAx>
        <c:axId val="1084798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78197926"/>
        <c:crosses val="autoZero"/>
        <c:auto val="1"/>
        <c:lblAlgn val="ctr"/>
        <c:lblOffset val="100"/>
        <c:noMultiLvlLbl val="1"/>
      </c:catAx>
      <c:valAx>
        <c:axId val="97819792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8479847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18-19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año'!$F$136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año'!$F$137:$F$151</c:f>
              <c:numCache>
                <c:formatCode>General</c:formatCode>
                <c:ptCount val="15"/>
                <c:pt idx="0">
                  <c:v>5.6459999999999999</c:v>
                </c:pt>
                <c:pt idx="1">
                  <c:v>6.4720000000000004</c:v>
                </c:pt>
                <c:pt idx="2">
                  <c:v>5.819</c:v>
                </c:pt>
                <c:pt idx="3" formatCode="#,##0.000">
                  <c:v>6.8680000000000003</c:v>
                </c:pt>
                <c:pt idx="4">
                  <c:v>5.875</c:v>
                </c:pt>
                <c:pt idx="5">
                  <c:v>6.5880000000000001</c:v>
                </c:pt>
                <c:pt idx="6">
                  <c:v>7.1790000000000003</c:v>
                </c:pt>
                <c:pt idx="7">
                  <c:v>7.306</c:v>
                </c:pt>
                <c:pt idx="8">
                  <c:v>4.3120000000000003</c:v>
                </c:pt>
                <c:pt idx="9">
                  <c:v>4.9290000000000003</c:v>
                </c:pt>
                <c:pt idx="10">
                  <c:v>6.556</c:v>
                </c:pt>
                <c:pt idx="11">
                  <c:v>6.25</c:v>
                </c:pt>
                <c:pt idx="12">
                  <c:v>4.375</c:v>
                </c:pt>
                <c:pt idx="13">
                  <c:v>0</c:v>
                </c:pt>
                <c:pt idx="14" formatCode="0.00">
                  <c:v>6.0688827586206902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5-409B-A8FF-6498A6926917}"/>
            </c:ext>
          </c:extLst>
        </c:ser>
        <c:ser>
          <c:idx val="1"/>
          <c:order val="1"/>
          <c:tx>
            <c:strRef>
              <c:f>'Por año'!$I$136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año'!$I$137:$I$151</c:f>
              <c:numCache>
                <c:formatCode>General</c:formatCode>
                <c:ptCount val="15"/>
                <c:pt idx="0">
                  <c:v>6.4340000000000002</c:v>
                </c:pt>
                <c:pt idx="1">
                  <c:v>6.782</c:v>
                </c:pt>
                <c:pt idx="2">
                  <c:v>5.7519999999999998</c:v>
                </c:pt>
                <c:pt idx="3">
                  <c:v>6.2439999999999998</c:v>
                </c:pt>
                <c:pt idx="4">
                  <c:v>5.2619999999999996</c:v>
                </c:pt>
                <c:pt idx="5">
                  <c:v>4.9480000000000004</c:v>
                </c:pt>
                <c:pt idx="6">
                  <c:v>6.6040000000000001</c:v>
                </c:pt>
                <c:pt idx="7">
                  <c:v>6.3639999999999999</c:v>
                </c:pt>
                <c:pt idx="8">
                  <c:v>4.7009999999999996</c:v>
                </c:pt>
                <c:pt idx="9">
                  <c:v>5.3979999999999997</c:v>
                </c:pt>
                <c:pt idx="10">
                  <c:v>6.1520000000000001</c:v>
                </c:pt>
                <c:pt idx="11">
                  <c:v>6.181</c:v>
                </c:pt>
                <c:pt idx="12">
                  <c:v>4.8579999999999997</c:v>
                </c:pt>
                <c:pt idx="13">
                  <c:v>6.968</c:v>
                </c:pt>
                <c:pt idx="14">
                  <c:v>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5-409B-A8FF-6498A692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17315"/>
        <c:axId val="486654419"/>
      </c:areaChart>
      <c:catAx>
        <c:axId val="120021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86654419"/>
        <c:crosses val="autoZero"/>
        <c:auto val="1"/>
        <c:lblAlgn val="ctr"/>
        <c:lblOffset val="100"/>
        <c:noMultiLvlLbl val="1"/>
      </c:catAx>
      <c:valAx>
        <c:axId val="48665441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0021731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17-18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año'!$F$155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año'!$F$156:$F$170</c:f>
              <c:numCache>
                <c:formatCode>General</c:formatCode>
                <c:ptCount val="15"/>
                <c:pt idx="0">
                  <c:v>4.944</c:v>
                </c:pt>
                <c:pt idx="1">
                  <c:v>6.6609999999999996</c:v>
                </c:pt>
                <c:pt idx="2">
                  <c:v>5.6609999999999996</c:v>
                </c:pt>
                <c:pt idx="3" formatCode="#,##0.000">
                  <c:v>5.0419999999999998</c:v>
                </c:pt>
                <c:pt idx="4">
                  <c:v>7.35</c:v>
                </c:pt>
                <c:pt idx="5">
                  <c:v>5.95</c:v>
                </c:pt>
                <c:pt idx="6">
                  <c:v>6.3929999999999998</c:v>
                </c:pt>
                <c:pt idx="7">
                  <c:v>6.7779999999999996</c:v>
                </c:pt>
                <c:pt idx="8">
                  <c:v>5.9169999999999998</c:v>
                </c:pt>
                <c:pt idx="9">
                  <c:v>7.6429999999999998</c:v>
                </c:pt>
                <c:pt idx="10">
                  <c:v>3.3119999999999998</c:v>
                </c:pt>
                <c:pt idx="11">
                  <c:v>6.5</c:v>
                </c:pt>
                <c:pt idx="12">
                  <c:v>4.75</c:v>
                </c:pt>
                <c:pt idx="13">
                  <c:v>0</c:v>
                </c:pt>
                <c:pt idx="14" formatCode="0.00">
                  <c:v>5.8432698412698398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B-46F3-93A4-FB30F954363F}"/>
            </c:ext>
          </c:extLst>
        </c:ser>
        <c:ser>
          <c:idx val="1"/>
          <c:order val="1"/>
          <c:tx>
            <c:strRef>
              <c:f>'Por año'!$I$155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año'!$I$156:$I$170</c:f>
              <c:numCache>
                <c:formatCode>General</c:formatCode>
                <c:ptCount val="15"/>
                <c:pt idx="0">
                  <c:v>5.9550000000000001</c:v>
                </c:pt>
                <c:pt idx="1">
                  <c:v>6.57</c:v>
                </c:pt>
                <c:pt idx="2">
                  <c:v>5.88</c:v>
                </c:pt>
                <c:pt idx="3">
                  <c:v>5.7009999999999996</c:v>
                </c:pt>
                <c:pt idx="4">
                  <c:v>7.0460000000000003</c:v>
                </c:pt>
                <c:pt idx="5">
                  <c:v>5.2549999999999999</c:v>
                </c:pt>
                <c:pt idx="6">
                  <c:v>6.0940000000000003</c:v>
                </c:pt>
                <c:pt idx="7">
                  <c:v>5.9950000000000001</c:v>
                </c:pt>
                <c:pt idx="8">
                  <c:v>5.5140000000000002</c:v>
                </c:pt>
                <c:pt idx="9">
                  <c:v>6.1849999999999996</c:v>
                </c:pt>
                <c:pt idx="10">
                  <c:v>6.093</c:v>
                </c:pt>
                <c:pt idx="11">
                  <c:v>6.298</c:v>
                </c:pt>
                <c:pt idx="12">
                  <c:v>5.5279999999999996</c:v>
                </c:pt>
                <c:pt idx="13">
                  <c:v>7.0510000000000002</c:v>
                </c:pt>
                <c:pt idx="14">
                  <c:v>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B-46F3-93A4-FB30F9543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973012"/>
        <c:axId val="450316204"/>
      </c:areaChart>
      <c:catAx>
        <c:axId val="701973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50316204"/>
        <c:crosses val="autoZero"/>
        <c:auto val="1"/>
        <c:lblAlgn val="ctr"/>
        <c:lblOffset val="100"/>
        <c:noMultiLvlLbl val="1"/>
      </c:catAx>
      <c:valAx>
        <c:axId val="45031620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0197301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16-17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año'!$F$174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año'!$F$175:$F$189</c:f>
              <c:numCache>
                <c:formatCode>General</c:formatCode>
                <c:ptCount val="15"/>
                <c:pt idx="0">
                  <c:v>5.5</c:v>
                </c:pt>
                <c:pt idx="1">
                  <c:v>6.0430000000000001</c:v>
                </c:pt>
                <c:pt idx="2">
                  <c:v>5.4210000000000003</c:v>
                </c:pt>
                <c:pt idx="3" formatCode="#,##0.000">
                  <c:v>6.9119999999999999</c:v>
                </c:pt>
                <c:pt idx="4">
                  <c:v>7.1719999999999997</c:v>
                </c:pt>
                <c:pt idx="5">
                  <c:v>6.4580000000000002</c:v>
                </c:pt>
                <c:pt idx="6">
                  <c:v>4.5229999999999997</c:v>
                </c:pt>
                <c:pt idx="7">
                  <c:v>7.2919999999999998</c:v>
                </c:pt>
                <c:pt idx="8">
                  <c:v>4.625</c:v>
                </c:pt>
                <c:pt idx="9">
                  <c:v>7.5830000000000002</c:v>
                </c:pt>
                <c:pt idx="10">
                  <c:v>6.423</c:v>
                </c:pt>
                <c:pt idx="11">
                  <c:v>0</c:v>
                </c:pt>
                <c:pt idx="12">
                  <c:v>5.5830000000000002</c:v>
                </c:pt>
                <c:pt idx="13">
                  <c:v>0</c:v>
                </c:pt>
                <c:pt idx="14" formatCode="0.00">
                  <c:v>6.0051914893617004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F-4192-A5D3-0F79F51247F5}"/>
            </c:ext>
          </c:extLst>
        </c:ser>
        <c:ser>
          <c:idx val="1"/>
          <c:order val="1"/>
          <c:tx>
            <c:strRef>
              <c:f>'Por año'!$I$174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año'!$I$175:$I$189</c:f>
              <c:numCache>
                <c:formatCode>General</c:formatCode>
                <c:ptCount val="15"/>
                <c:pt idx="0">
                  <c:v>6.165</c:v>
                </c:pt>
                <c:pt idx="1">
                  <c:v>6.5209999999999999</c:v>
                </c:pt>
                <c:pt idx="2">
                  <c:v>5.6420000000000003</c:v>
                </c:pt>
                <c:pt idx="3">
                  <c:v>6.4980000000000002</c:v>
                </c:pt>
                <c:pt idx="4">
                  <c:v>5.2160000000000002</c:v>
                </c:pt>
                <c:pt idx="5">
                  <c:v>5.7220000000000004</c:v>
                </c:pt>
                <c:pt idx="6">
                  <c:v>4.9320000000000004</c:v>
                </c:pt>
                <c:pt idx="7">
                  <c:v>6.9640000000000004</c:v>
                </c:pt>
                <c:pt idx="8">
                  <c:v>4.51</c:v>
                </c:pt>
                <c:pt idx="9">
                  <c:v>5.7930000000000001</c:v>
                </c:pt>
                <c:pt idx="10">
                  <c:v>5.97</c:v>
                </c:pt>
                <c:pt idx="11">
                  <c:v>5.6859999999999999</c:v>
                </c:pt>
                <c:pt idx="12">
                  <c:v>6.016</c:v>
                </c:pt>
                <c:pt idx="13">
                  <c:v>7.3529999999999998</c:v>
                </c:pt>
                <c:pt idx="14">
                  <c:v>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F-4192-A5D3-0F79F512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21573"/>
        <c:axId val="2110676923"/>
      </c:areaChart>
      <c:catAx>
        <c:axId val="1133521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10676923"/>
        <c:crosses val="autoZero"/>
        <c:auto val="1"/>
        <c:lblAlgn val="ctr"/>
        <c:lblOffset val="100"/>
        <c:noMultiLvlLbl val="1"/>
      </c:catAx>
      <c:valAx>
        <c:axId val="211067692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3352157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19-20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año'!$F$117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año'!$F$118:$F$132</c:f>
              <c:numCache>
                <c:formatCode>General</c:formatCode>
                <c:ptCount val="15"/>
                <c:pt idx="0">
                  <c:v>6.1550000000000002</c:v>
                </c:pt>
                <c:pt idx="1">
                  <c:v>6.86</c:v>
                </c:pt>
                <c:pt idx="2">
                  <c:v>5.64</c:v>
                </c:pt>
                <c:pt idx="3">
                  <c:v>7.556</c:v>
                </c:pt>
                <c:pt idx="4">
                  <c:v>6.3879999999999999</c:v>
                </c:pt>
                <c:pt idx="5">
                  <c:v>7.0460000000000003</c:v>
                </c:pt>
                <c:pt idx="6">
                  <c:v>6.0110000000000001</c:v>
                </c:pt>
                <c:pt idx="7">
                  <c:v>7.5</c:v>
                </c:pt>
                <c:pt idx="8">
                  <c:v>6.8570000000000002</c:v>
                </c:pt>
                <c:pt idx="9">
                  <c:v>7.577</c:v>
                </c:pt>
                <c:pt idx="10">
                  <c:v>6.4770000000000003</c:v>
                </c:pt>
                <c:pt idx="11">
                  <c:v>7.25</c:v>
                </c:pt>
                <c:pt idx="12">
                  <c:v>4.6500000000000004</c:v>
                </c:pt>
                <c:pt idx="13">
                  <c:v>9.625</c:v>
                </c:pt>
                <c:pt idx="14" formatCode="0.00">
                  <c:v>6.4415223880596999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6-4518-9B31-DD3504D855A3}"/>
            </c:ext>
          </c:extLst>
        </c:ser>
        <c:ser>
          <c:idx val="1"/>
          <c:order val="1"/>
          <c:tx>
            <c:strRef>
              <c:f>'Por año'!$G$117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año'!$G$118:$G$132</c:f>
              <c:numCache>
                <c:formatCode>General</c:formatCode>
                <c:ptCount val="15"/>
                <c:pt idx="0">
                  <c:v>7.96</c:v>
                </c:pt>
                <c:pt idx="1">
                  <c:v>8.08</c:v>
                </c:pt>
                <c:pt idx="2">
                  <c:v>8.33</c:v>
                </c:pt>
                <c:pt idx="3">
                  <c:v>7.6</c:v>
                </c:pt>
                <c:pt idx="4">
                  <c:v>7.72</c:v>
                </c:pt>
                <c:pt idx="5">
                  <c:v>7.3</c:v>
                </c:pt>
                <c:pt idx="6">
                  <c:v>7.37</c:v>
                </c:pt>
                <c:pt idx="7">
                  <c:v>8.31</c:v>
                </c:pt>
                <c:pt idx="8">
                  <c:v>8.43</c:v>
                </c:pt>
                <c:pt idx="9">
                  <c:v>7.28</c:v>
                </c:pt>
                <c:pt idx="10">
                  <c:v>8.5</c:v>
                </c:pt>
                <c:pt idx="11">
                  <c:v>7.63</c:v>
                </c:pt>
                <c:pt idx="12">
                  <c:v>8.33</c:v>
                </c:pt>
                <c:pt idx="13">
                  <c:v>9.67</c:v>
                </c:pt>
                <c:pt idx="14" formatCode="0.00">
                  <c:v>8.0024875621890494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6-4518-9B31-DD3504D85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58200"/>
        <c:axId val="590612294"/>
      </c:areaChart>
      <c:catAx>
        <c:axId val="650358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90612294"/>
        <c:crosses val="autoZero"/>
        <c:auto val="1"/>
        <c:lblAlgn val="ctr"/>
        <c:lblOffset val="100"/>
        <c:noMultiLvlLbl val="1"/>
      </c:catAx>
      <c:valAx>
        <c:axId val="59061229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503582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18-19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año'!$F$136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año'!$F$137:$F$151</c:f>
              <c:numCache>
                <c:formatCode>General</c:formatCode>
                <c:ptCount val="15"/>
                <c:pt idx="0">
                  <c:v>5.6459999999999999</c:v>
                </c:pt>
                <c:pt idx="1">
                  <c:v>6.4720000000000004</c:v>
                </c:pt>
                <c:pt idx="2">
                  <c:v>5.819</c:v>
                </c:pt>
                <c:pt idx="3" formatCode="#,##0.000">
                  <c:v>6.8680000000000003</c:v>
                </c:pt>
                <c:pt idx="4">
                  <c:v>5.875</c:v>
                </c:pt>
                <c:pt idx="5">
                  <c:v>6.5880000000000001</c:v>
                </c:pt>
                <c:pt idx="6">
                  <c:v>7.1790000000000003</c:v>
                </c:pt>
                <c:pt idx="7">
                  <c:v>7.306</c:v>
                </c:pt>
                <c:pt idx="8">
                  <c:v>4.3120000000000003</c:v>
                </c:pt>
                <c:pt idx="9">
                  <c:v>4.9290000000000003</c:v>
                </c:pt>
                <c:pt idx="10">
                  <c:v>6.556</c:v>
                </c:pt>
                <c:pt idx="11">
                  <c:v>6.25</c:v>
                </c:pt>
                <c:pt idx="12">
                  <c:v>4.375</c:v>
                </c:pt>
                <c:pt idx="13">
                  <c:v>0</c:v>
                </c:pt>
                <c:pt idx="14" formatCode="0.00">
                  <c:v>6.0688827586206902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D-4F70-A946-8E0108BE1022}"/>
            </c:ext>
          </c:extLst>
        </c:ser>
        <c:ser>
          <c:idx val="1"/>
          <c:order val="1"/>
          <c:tx>
            <c:strRef>
              <c:f>'Por año'!$G$136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año'!$G$137:$G$151</c:f>
              <c:numCache>
                <c:formatCode>General</c:formatCode>
                <c:ptCount val="15"/>
                <c:pt idx="0">
                  <c:v>6.53</c:v>
                </c:pt>
                <c:pt idx="1">
                  <c:v>6.6</c:v>
                </c:pt>
                <c:pt idx="2">
                  <c:v>7.07</c:v>
                </c:pt>
                <c:pt idx="3" formatCode="#,##0.000">
                  <c:v>7.38</c:v>
                </c:pt>
                <c:pt idx="4">
                  <c:v>6</c:v>
                </c:pt>
                <c:pt idx="5">
                  <c:v>7.62</c:v>
                </c:pt>
                <c:pt idx="6">
                  <c:v>7.52</c:v>
                </c:pt>
                <c:pt idx="7">
                  <c:v>8</c:v>
                </c:pt>
                <c:pt idx="8">
                  <c:v>8.43</c:v>
                </c:pt>
                <c:pt idx="9">
                  <c:v>6.08</c:v>
                </c:pt>
                <c:pt idx="10">
                  <c:v>7.14</c:v>
                </c:pt>
                <c:pt idx="11">
                  <c:v>6.2</c:v>
                </c:pt>
                <c:pt idx="12">
                  <c:v>6.33</c:v>
                </c:pt>
                <c:pt idx="13">
                  <c:v>0</c:v>
                </c:pt>
                <c:pt idx="14" formatCode="0.00">
                  <c:v>6.7080000000000002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D-4F70-A946-8E0108BE1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323488"/>
        <c:axId val="1709171293"/>
      </c:areaChart>
      <c:catAx>
        <c:axId val="98032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09171293"/>
        <c:crosses val="autoZero"/>
        <c:auto val="1"/>
        <c:lblAlgn val="ctr"/>
        <c:lblOffset val="100"/>
        <c:noMultiLvlLbl val="1"/>
      </c:catAx>
      <c:valAx>
        <c:axId val="170917129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8032348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17-18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año'!$F$155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año'!$F$156:$F$170</c:f>
              <c:numCache>
                <c:formatCode>General</c:formatCode>
                <c:ptCount val="15"/>
                <c:pt idx="0">
                  <c:v>4.944</c:v>
                </c:pt>
                <c:pt idx="1">
                  <c:v>6.6609999999999996</c:v>
                </c:pt>
                <c:pt idx="2">
                  <c:v>5.6609999999999996</c:v>
                </c:pt>
                <c:pt idx="3" formatCode="#,##0.000">
                  <c:v>5.0419999999999998</c:v>
                </c:pt>
                <c:pt idx="4">
                  <c:v>7.35</c:v>
                </c:pt>
                <c:pt idx="5">
                  <c:v>5.95</c:v>
                </c:pt>
                <c:pt idx="6">
                  <c:v>6.3929999999999998</c:v>
                </c:pt>
                <c:pt idx="7">
                  <c:v>6.7779999999999996</c:v>
                </c:pt>
                <c:pt idx="8">
                  <c:v>5.9169999999999998</c:v>
                </c:pt>
                <c:pt idx="9">
                  <c:v>7.6429999999999998</c:v>
                </c:pt>
                <c:pt idx="10">
                  <c:v>3.3119999999999998</c:v>
                </c:pt>
                <c:pt idx="11">
                  <c:v>6.5</c:v>
                </c:pt>
                <c:pt idx="12">
                  <c:v>4.75</c:v>
                </c:pt>
                <c:pt idx="13">
                  <c:v>0</c:v>
                </c:pt>
                <c:pt idx="14" formatCode="0.00">
                  <c:v>5.8432698412698398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6-4337-B871-AE07D465F0BD}"/>
            </c:ext>
          </c:extLst>
        </c:ser>
        <c:ser>
          <c:idx val="1"/>
          <c:order val="1"/>
          <c:tx>
            <c:strRef>
              <c:f>'Por año'!$G$155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año'!$G$156:$G$170</c:f>
              <c:numCache>
                <c:formatCode>General</c:formatCode>
                <c:ptCount val="15"/>
                <c:pt idx="0">
                  <c:v>6.46</c:v>
                </c:pt>
                <c:pt idx="1">
                  <c:v>6.62</c:v>
                </c:pt>
                <c:pt idx="2">
                  <c:v>7.15</c:v>
                </c:pt>
                <c:pt idx="3" formatCode="#,##0.000">
                  <c:v>6.78</c:v>
                </c:pt>
                <c:pt idx="4">
                  <c:v>6.19</c:v>
                </c:pt>
                <c:pt idx="5">
                  <c:v>7.35</c:v>
                </c:pt>
                <c:pt idx="6">
                  <c:v>6.57</c:v>
                </c:pt>
                <c:pt idx="7">
                  <c:v>7.15</c:v>
                </c:pt>
                <c:pt idx="8">
                  <c:v>7.8</c:v>
                </c:pt>
                <c:pt idx="9">
                  <c:v>6</c:v>
                </c:pt>
                <c:pt idx="10">
                  <c:v>6.13</c:v>
                </c:pt>
                <c:pt idx="11">
                  <c:v>7.13</c:v>
                </c:pt>
                <c:pt idx="12">
                  <c:v>6.94</c:v>
                </c:pt>
                <c:pt idx="13">
                  <c:v>0</c:v>
                </c:pt>
                <c:pt idx="14" formatCode="0.00">
                  <c:v>6.6826984126984099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6-4337-B871-AE07D465F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436459"/>
        <c:axId val="1349267090"/>
      </c:areaChart>
      <c:catAx>
        <c:axId val="1733436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49267090"/>
        <c:crosses val="autoZero"/>
        <c:auto val="1"/>
        <c:lblAlgn val="ctr"/>
        <c:lblOffset val="100"/>
        <c:noMultiLvlLbl val="1"/>
      </c:catAx>
      <c:valAx>
        <c:axId val="134926709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334364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16-17</a:t>
            </a:r>
          </a:p>
        </c:rich>
      </c:tx>
      <c:layout>
        <c:manualLayout>
          <c:xMode val="edge"/>
          <c:yMode val="edge"/>
          <c:x val="3.5987261146496814E-2"/>
          <c:y val="4.9999999999999996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año'!$F$174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año'!$F$175:$F$189</c:f>
              <c:numCache>
                <c:formatCode>General</c:formatCode>
                <c:ptCount val="15"/>
                <c:pt idx="0">
                  <c:v>5.5</c:v>
                </c:pt>
                <c:pt idx="1">
                  <c:v>6.0430000000000001</c:v>
                </c:pt>
                <c:pt idx="2">
                  <c:v>5.4210000000000003</c:v>
                </c:pt>
                <c:pt idx="3" formatCode="#,##0.000">
                  <c:v>6.9119999999999999</c:v>
                </c:pt>
                <c:pt idx="4">
                  <c:v>7.1719999999999997</c:v>
                </c:pt>
                <c:pt idx="5">
                  <c:v>6.4580000000000002</c:v>
                </c:pt>
                <c:pt idx="6">
                  <c:v>4.5229999999999997</c:v>
                </c:pt>
                <c:pt idx="7">
                  <c:v>7.2919999999999998</c:v>
                </c:pt>
                <c:pt idx="8">
                  <c:v>4.625</c:v>
                </c:pt>
                <c:pt idx="9">
                  <c:v>7.5830000000000002</c:v>
                </c:pt>
                <c:pt idx="10">
                  <c:v>6.423</c:v>
                </c:pt>
                <c:pt idx="11">
                  <c:v>0</c:v>
                </c:pt>
                <c:pt idx="12">
                  <c:v>5.5830000000000002</c:v>
                </c:pt>
                <c:pt idx="13">
                  <c:v>0</c:v>
                </c:pt>
                <c:pt idx="14" formatCode="0.00">
                  <c:v>6.0051914893617004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6-4CCE-AF2C-C21529866912}"/>
            </c:ext>
          </c:extLst>
        </c:ser>
        <c:ser>
          <c:idx val="1"/>
          <c:order val="1"/>
          <c:tx>
            <c:strRef>
              <c:f>'Por año'!$G$174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año'!$G$175:$G$189</c:f>
              <c:numCache>
                <c:formatCode>General</c:formatCode>
                <c:ptCount val="15"/>
                <c:pt idx="0">
                  <c:v>6.43</c:v>
                </c:pt>
                <c:pt idx="1">
                  <c:v>6.73</c:v>
                </c:pt>
                <c:pt idx="2">
                  <c:v>6.95</c:v>
                </c:pt>
                <c:pt idx="3" formatCode="#,##0.000">
                  <c:v>7</c:v>
                </c:pt>
                <c:pt idx="4">
                  <c:v>7</c:v>
                </c:pt>
                <c:pt idx="5">
                  <c:v>6.86</c:v>
                </c:pt>
                <c:pt idx="6">
                  <c:v>6.95</c:v>
                </c:pt>
                <c:pt idx="7">
                  <c:v>7.09</c:v>
                </c:pt>
                <c:pt idx="8">
                  <c:v>7.55</c:v>
                </c:pt>
                <c:pt idx="9">
                  <c:v>6.72</c:v>
                </c:pt>
                <c:pt idx="10">
                  <c:v>7.37</c:v>
                </c:pt>
                <c:pt idx="11">
                  <c:v>0</c:v>
                </c:pt>
                <c:pt idx="12">
                  <c:v>6.72</c:v>
                </c:pt>
                <c:pt idx="13">
                  <c:v>0</c:v>
                </c:pt>
                <c:pt idx="14" formatCode="0.00">
                  <c:v>6.7790780141843898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6-4CCE-AF2C-C2152986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214650"/>
        <c:axId val="556816898"/>
      </c:areaChart>
      <c:catAx>
        <c:axId val="1547214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56816898"/>
        <c:crosses val="autoZero"/>
        <c:auto val="1"/>
        <c:lblAlgn val="ctr"/>
        <c:lblOffset val="100"/>
        <c:noMultiLvlLbl val="1"/>
      </c:catAx>
      <c:valAx>
        <c:axId val="55681689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472146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20-21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año'!$F$98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año'!$F$99:$F$113</c:f>
              <c:numCache>
                <c:formatCode>General</c:formatCode>
                <c:ptCount val="15"/>
                <c:pt idx="0">
                  <c:v>5.82</c:v>
                </c:pt>
                <c:pt idx="1">
                  <c:v>5.28</c:v>
                </c:pt>
                <c:pt idx="2">
                  <c:v>5.97</c:v>
                </c:pt>
                <c:pt idx="3">
                  <c:v>6.31</c:v>
                </c:pt>
                <c:pt idx="4">
                  <c:v>6.87</c:v>
                </c:pt>
                <c:pt idx="5">
                  <c:v>6.98</c:v>
                </c:pt>
                <c:pt idx="6">
                  <c:v>7.71</c:v>
                </c:pt>
                <c:pt idx="7">
                  <c:v>7.47</c:v>
                </c:pt>
                <c:pt idx="8">
                  <c:v>4.42</c:v>
                </c:pt>
                <c:pt idx="9">
                  <c:v>8.18</c:v>
                </c:pt>
                <c:pt idx="10">
                  <c:v>6.38</c:v>
                </c:pt>
                <c:pt idx="11">
                  <c:v>7.5</c:v>
                </c:pt>
                <c:pt idx="12">
                  <c:v>7.15</c:v>
                </c:pt>
                <c:pt idx="13">
                  <c:v>7.25</c:v>
                </c:pt>
                <c:pt idx="14" formatCode="0.00">
                  <c:v>5.9013705583756302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9-4675-9548-93C61775042D}"/>
            </c:ext>
          </c:extLst>
        </c:ser>
        <c:ser>
          <c:idx val="1"/>
          <c:order val="1"/>
          <c:tx>
            <c:strRef>
              <c:f>'Por año'!$I$98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año'!$I$99:$I$113</c:f>
              <c:numCache>
                <c:formatCode>General</c:formatCode>
                <c:ptCount val="15"/>
                <c:pt idx="0">
                  <c:v>6.54</c:v>
                </c:pt>
                <c:pt idx="1">
                  <c:v>6.48</c:v>
                </c:pt>
                <c:pt idx="2">
                  <c:v>6.61</c:v>
                </c:pt>
                <c:pt idx="3">
                  <c:v>6.15</c:v>
                </c:pt>
                <c:pt idx="4">
                  <c:v>5.83</c:v>
                </c:pt>
                <c:pt idx="5">
                  <c:v>6.92</c:v>
                </c:pt>
                <c:pt idx="6">
                  <c:v>7.6</c:v>
                </c:pt>
                <c:pt idx="7">
                  <c:v>7.14</c:v>
                </c:pt>
                <c:pt idx="8">
                  <c:v>5.8</c:v>
                </c:pt>
                <c:pt idx="9">
                  <c:v>7.01</c:v>
                </c:pt>
                <c:pt idx="10">
                  <c:v>6.4</c:v>
                </c:pt>
                <c:pt idx="11">
                  <c:v>6.39</c:v>
                </c:pt>
                <c:pt idx="12">
                  <c:v>6.4</c:v>
                </c:pt>
                <c:pt idx="13">
                  <c:v>6.62</c:v>
                </c:pt>
                <c:pt idx="14">
                  <c:v>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9-4675-9548-93C617750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00592"/>
        <c:axId val="1723605262"/>
      </c:areaChart>
      <c:catAx>
        <c:axId val="49170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23605262"/>
        <c:crosses val="autoZero"/>
        <c:auto val="1"/>
        <c:lblAlgn val="ctr"/>
        <c:lblOffset val="100"/>
        <c:noMultiLvlLbl val="1"/>
      </c:catAx>
      <c:valAx>
        <c:axId val="172360526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9170059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20-21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año'!$F$98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año'!$F$99:$F$113</c:f>
              <c:numCache>
                <c:formatCode>General</c:formatCode>
                <c:ptCount val="15"/>
                <c:pt idx="0">
                  <c:v>5.82</c:v>
                </c:pt>
                <c:pt idx="1">
                  <c:v>5.28</c:v>
                </c:pt>
                <c:pt idx="2">
                  <c:v>5.97</c:v>
                </c:pt>
                <c:pt idx="3">
                  <c:v>6.31</c:v>
                </c:pt>
                <c:pt idx="4">
                  <c:v>6.87</c:v>
                </c:pt>
                <c:pt idx="5">
                  <c:v>6.98</c:v>
                </c:pt>
                <c:pt idx="6">
                  <c:v>7.71</c:v>
                </c:pt>
                <c:pt idx="7">
                  <c:v>7.47</c:v>
                </c:pt>
                <c:pt idx="8">
                  <c:v>4.42</c:v>
                </c:pt>
                <c:pt idx="9">
                  <c:v>8.18</c:v>
                </c:pt>
                <c:pt idx="10">
                  <c:v>6.38</c:v>
                </c:pt>
                <c:pt idx="11">
                  <c:v>7.5</c:v>
                </c:pt>
                <c:pt idx="12">
                  <c:v>7.15</c:v>
                </c:pt>
                <c:pt idx="13">
                  <c:v>7.25</c:v>
                </c:pt>
                <c:pt idx="14" formatCode="0.00">
                  <c:v>5.9013705583756302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4744-98FB-A2FF16D95B3B}"/>
            </c:ext>
          </c:extLst>
        </c:ser>
        <c:ser>
          <c:idx val="1"/>
          <c:order val="1"/>
          <c:tx>
            <c:strRef>
              <c:f>'Por año'!$G$98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año'!$G$99:$G$113</c:f>
              <c:numCache>
                <c:formatCode>General</c:formatCode>
                <c:ptCount val="15"/>
                <c:pt idx="0">
                  <c:v>6.43</c:v>
                </c:pt>
                <c:pt idx="1">
                  <c:v>6.51</c:v>
                </c:pt>
                <c:pt idx="2">
                  <c:v>6.94</c:v>
                </c:pt>
                <c:pt idx="3">
                  <c:v>6.81</c:v>
                </c:pt>
                <c:pt idx="4">
                  <c:v>6.89</c:v>
                </c:pt>
                <c:pt idx="5">
                  <c:v>7.77</c:v>
                </c:pt>
                <c:pt idx="6">
                  <c:v>7.65</c:v>
                </c:pt>
                <c:pt idx="7">
                  <c:v>7.2</c:v>
                </c:pt>
                <c:pt idx="8">
                  <c:v>8.5</c:v>
                </c:pt>
                <c:pt idx="9">
                  <c:v>6.44</c:v>
                </c:pt>
                <c:pt idx="10">
                  <c:v>6.83</c:v>
                </c:pt>
                <c:pt idx="11">
                  <c:v>7.5</c:v>
                </c:pt>
                <c:pt idx="12">
                  <c:v>7.06</c:v>
                </c:pt>
                <c:pt idx="13">
                  <c:v>8.25</c:v>
                </c:pt>
                <c:pt idx="14" formatCode="0.00">
                  <c:v>6.68091370558375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3-4744-98FB-A2FF16D9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25654"/>
        <c:axId val="1801708458"/>
      </c:areaChart>
      <c:catAx>
        <c:axId val="1029125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01708458"/>
        <c:crosses val="autoZero"/>
        <c:auto val="1"/>
        <c:lblAlgn val="ctr"/>
        <c:lblOffset val="100"/>
        <c:noMultiLvlLbl val="1"/>
      </c:catAx>
      <c:valAx>
        <c:axId val="180170845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2912565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21-22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año'!$F$79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año'!$D$80:$D$94</c:f>
              <c:strCache>
                <c:ptCount val="15"/>
                <c:pt idx="0">
                  <c:v>Lengua(48)</c:v>
                </c:pt>
                <c:pt idx="1">
                  <c:v>Inglés(48)</c:v>
                </c:pt>
                <c:pt idx="2">
                  <c:v>Historia(48)</c:v>
                </c:pt>
                <c:pt idx="3">
                  <c:v>Mate(28)</c:v>
                </c:pt>
                <c:pt idx="4">
                  <c:v>Mate CCSS(20)</c:v>
                </c:pt>
                <c:pt idx="5">
                  <c:v>Física(25)</c:v>
                </c:pt>
                <c:pt idx="6">
                  <c:v>Química(19)</c:v>
                </c:pt>
                <c:pt idx="7">
                  <c:v>Biología(10)</c:v>
                </c:pt>
                <c:pt idx="8">
                  <c:v>Dibujo Técnico(6)</c:v>
                </c:pt>
                <c:pt idx="9">
                  <c:v>Economía(10)</c:v>
                </c:pt>
                <c:pt idx="10">
                  <c:v>H. Filosofía(14)</c:v>
                </c:pt>
                <c:pt idx="11">
                  <c:v>H. Arte(6)</c:v>
                </c:pt>
                <c:pt idx="12">
                  <c:v>Geografía(3)</c:v>
                </c:pt>
                <c:pt idx="13">
                  <c:v>Francés(2)</c:v>
                </c:pt>
                <c:pt idx="14">
                  <c:v>Fase General(48)</c:v>
                </c:pt>
              </c:strCache>
            </c:strRef>
          </c:cat>
          <c:val>
            <c:numRef>
              <c:f>'Por año'!$F$80:$F$94</c:f>
              <c:numCache>
                <c:formatCode>General</c:formatCode>
                <c:ptCount val="15"/>
                <c:pt idx="0">
                  <c:v>6.19</c:v>
                </c:pt>
                <c:pt idx="1">
                  <c:v>5.6</c:v>
                </c:pt>
                <c:pt idx="2">
                  <c:v>5.89</c:v>
                </c:pt>
                <c:pt idx="3">
                  <c:v>7.47</c:v>
                </c:pt>
                <c:pt idx="4">
                  <c:v>6.2</c:v>
                </c:pt>
                <c:pt idx="5">
                  <c:v>5.72</c:v>
                </c:pt>
                <c:pt idx="6">
                  <c:v>7.01</c:v>
                </c:pt>
                <c:pt idx="7">
                  <c:v>7.55</c:v>
                </c:pt>
                <c:pt idx="8">
                  <c:v>5.75</c:v>
                </c:pt>
                <c:pt idx="9">
                  <c:v>7.9</c:v>
                </c:pt>
                <c:pt idx="10">
                  <c:v>5.55</c:v>
                </c:pt>
                <c:pt idx="11">
                  <c:v>6.79</c:v>
                </c:pt>
                <c:pt idx="12">
                  <c:v>4.33</c:v>
                </c:pt>
                <c:pt idx="13">
                  <c:v>4.5</c:v>
                </c:pt>
                <c:pt idx="14" formatCode="0.00">
                  <c:v>6.1552083333333298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C-4782-8500-5EF21B8AA89E}"/>
            </c:ext>
          </c:extLst>
        </c:ser>
        <c:ser>
          <c:idx val="1"/>
          <c:order val="1"/>
          <c:tx>
            <c:strRef>
              <c:f>'Por año'!$I$79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año'!$D$80:$D$94</c:f>
              <c:strCache>
                <c:ptCount val="15"/>
                <c:pt idx="0">
                  <c:v>Lengua(48)</c:v>
                </c:pt>
                <c:pt idx="1">
                  <c:v>Inglés(48)</c:v>
                </c:pt>
                <c:pt idx="2">
                  <c:v>Historia(48)</c:v>
                </c:pt>
                <c:pt idx="3">
                  <c:v>Mate(28)</c:v>
                </c:pt>
                <c:pt idx="4">
                  <c:v>Mate CCSS(20)</c:v>
                </c:pt>
                <c:pt idx="5">
                  <c:v>Física(25)</c:v>
                </c:pt>
                <c:pt idx="6">
                  <c:v>Química(19)</c:v>
                </c:pt>
                <c:pt idx="7">
                  <c:v>Biología(10)</c:v>
                </c:pt>
                <c:pt idx="8">
                  <c:v>Dibujo Técnico(6)</c:v>
                </c:pt>
                <c:pt idx="9">
                  <c:v>Economía(10)</c:v>
                </c:pt>
                <c:pt idx="10">
                  <c:v>H. Filosofía(14)</c:v>
                </c:pt>
                <c:pt idx="11">
                  <c:v>H. Arte(6)</c:v>
                </c:pt>
                <c:pt idx="12">
                  <c:v>Geografía(3)</c:v>
                </c:pt>
                <c:pt idx="13">
                  <c:v>Francés(2)</c:v>
                </c:pt>
                <c:pt idx="14">
                  <c:v>Fase General(48)</c:v>
                </c:pt>
              </c:strCache>
            </c:strRef>
          </c:cat>
          <c:val>
            <c:numRef>
              <c:f>'Por año'!$I$80:$I$94</c:f>
              <c:numCache>
                <c:formatCode>General</c:formatCode>
                <c:ptCount val="15"/>
                <c:pt idx="0">
                  <c:v>6.66</c:v>
                </c:pt>
                <c:pt idx="1">
                  <c:v>6.35</c:v>
                </c:pt>
                <c:pt idx="2">
                  <c:v>6.49</c:v>
                </c:pt>
                <c:pt idx="3">
                  <c:v>6.74</c:v>
                </c:pt>
                <c:pt idx="4">
                  <c:v>5.93</c:v>
                </c:pt>
                <c:pt idx="5">
                  <c:v>5.52</c:v>
                </c:pt>
                <c:pt idx="6">
                  <c:v>7.06</c:v>
                </c:pt>
                <c:pt idx="7">
                  <c:v>7.31</c:v>
                </c:pt>
                <c:pt idx="8">
                  <c:v>5.45</c:v>
                </c:pt>
                <c:pt idx="9">
                  <c:v>7.02</c:v>
                </c:pt>
                <c:pt idx="10">
                  <c:v>6.61</c:v>
                </c:pt>
                <c:pt idx="11">
                  <c:v>6.44</c:v>
                </c:pt>
                <c:pt idx="12">
                  <c:v>5.69</c:v>
                </c:pt>
                <c:pt idx="13">
                  <c:v>6.83</c:v>
                </c:pt>
                <c:pt idx="14" formatCode="0.00">
                  <c:v>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C-4782-8500-5EF21B8AA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892955"/>
        <c:axId val="1804243660"/>
      </c:areaChart>
      <c:catAx>
        <c:axId val="753892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04243660"/>
        <c:crosses val="autoZero"/>
        <c:auto val="1"/>
        <c:lblAlgn val="ctr"/>
        <c:lblOffset val="100"/>
        <c:noMultiLvlLbl val="1"/>
      </c:catAx>
      <c:valAx>
        <c:axId val="180424366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5389295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21-22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año'!$F$79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año'!$D$80:$D$94</c:f>
              <c:strCache>
                <c:ptCount val="15"/>
                <c:pt idx="0">
                  <c:v>Lengua(48)</c:v>
                </c:pt>
                <c:pt idx="1">
                  <c:v>Inglés(48)</c:v>
                </c:pt>
                <c:pt idx="2">
                  <c:v>Historia(48)</c:v>
                </c:pt>
                <c:pt idx="3">
                  <c:v>Mate(28)</c:v>
                </c:pt>
                <c:pt idx="4">
                  <c:v>Mate CCSS(20)</c:v>
                </c:pt>
                <c:pt idx="5">
                  <c:v>Física(25)</c:v>
                </c:pt>
                <c:pt idx="6">
                  <c:v>Química(19)</c:v>
                </c:pt>
                <c:pt idx="7">
                  <c:v>Biología(10)</c:v>
                </c:pt>
                <c:pt idx="8">
                  <c:v>Dibujo Técnico(6)</c:v>
                </c:pt>
                <c:pt idx="9">
                  <c:v>Economía(10)</c:v>
                </c:pt>
                <c:pt idx="10">
                  <c:v>H. Filosofía(14)</c:v>
                </c:pt>
                <c:pt idx="11">
                  <c:v>H. Arte(6)</c:v>
                </c:pt>
                <c:pt idx="12">
                  <c:v>Geografía(3)</c:v>
                </c:pt>
                <c:pt idx="13">
                  <c:v>Francés(2)</c:v>
                </c:pt>
                <c:pt idx="14">
                  <c:v>Fase General(48)</c:v>
                </c:pt>
              </c:strCache>
            </c:strRef>
          </c:cat>
          <c:val>
            <c:numRef>
              <c:f>'Por año'!$F$80:$F$94</c:f>
              <c:numCache>
                <c:formatCode>General</c:formatCode>
                <c:ptCount val="15"/>
                <c:pt idx="0">
                  <c:v>6.19</c:v>
                </c:pt>
                <c:pt idx="1">
                  <c:v>5.6</c:v>
                </c:pt>
                <c:pt idx="2">
                  <c:v>5.89</c:v>
                </c:pt>
                <c:pt idx="3">
                  <c:v>7.47</c:v>
                </c:pt>
                <c:pt idx="4">
                  <c:v>6.2</c:v>
                </c:pt>
                <c:pt idx="5">
                  <c:v>5.72</c:v>
                </c:pt>
                <c:pt idx="6">
                  <c:v>7.01</c:v>
                </c:pt>
                <c:pt idx="7">
                  <c:v>7.55</c:v>
                </c:pt>
                <c:pt idx="8">
                  <c:v>5.75</c:v>
                </c:pt>
                <c:pt idx="9">
                  <c:v>7.9</c:v>
                </c:pt>
                <c:pt idx="10">
                  <c:v>5.55</c:v>
                </c:pt>
                <c:pt idx="11">
                  <c:v>6.79</c:v>
                </c:pt>
                <c:pt idx="12">
                  <c:v>4.33</c:v>
                </c:pt>
                <c:pt idx="13">
                  <c:v>4.5</c:v>
                </c:pt>
                <c:pt idx="14" formatCode="0.00">
                  <c:v>6.1552083333333298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8-48B4-9C3B-18F1BB42126E}"/>
            </c:ext>
          </c:extLst>
        </c:ser>
        <c:ser>
          <c:idx val="1"/>
          <c:order val="1"/>
          <c:tx>
            <c:strRef>
              <c:f>'Por año'!$G$79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año'!$D$80:$D$94</c:f>
              <c:strCache>
                <c:ptCount val="15"/>
                <c:pt idx="0">
                  <c:v>Lengua(48)</c:v>
                </c:pt>
                <c:pt idx="1">
                  <c:v>Inglés(48)</c:v>
                </c:pt>
                <c:pt idx="2">
                  <c:v>Historia(48)</c:v>
                </c:pt>
                <c:pt idx="3">
                  <c:v>Mate(28)</c:v>
                </c:pt>
                <c:pt idx="4">
                  <c:v>Mate CCSS(20)</c:v>
                </c:pt>
                <c:pt idx="5">
                  <c:v>Física(25)</c:v>
                </c:pt>
                <c:pt idx="6">
                  <c:v>Química(19)</c:v>
                </c:pt>
                <c:pt idx="7">
                  <c:v>Biología(10)</c:v>
                </c:pt>
                <c:pt idx="8">
                  <c:v>Dibujo Técnico(6)</c:v>
                </c:pt>
                <c:pt idx="9">
                  <c:v>Economía(10)</c:v>
                </c:pt>
                <c:pt idx="10">
                  <c:v>H. Filosofía(14)</c:v>
                </c:pt>
                <c:pt idx="11">
                  <c:v>H. Arte(6)</c:v>
                </c:pt>
                <c:pt idx="12">
                  <c:v>Geografía(3)</c:v>
                </c:pt>
                <c:pt idx="13">
                  <c:v>Francés(2)</c:v>
                </c:pt>
                <c:pt idx="14">
                  <c:v>Fase General(48)</c:v>
                </c:pt>
              </c:strCache>
            </c:strRef>
          </c:cat>
          <c:val>
            <c:numRef>
              <c:f>'Por año'!$G$80:$G$94</c:f>
              <c:numCache>
                <c:formatCode>General</c:formatCode>
                <c:ptCount val="15"/>
                <c:pt idx="0">
                  <c:v>6.77</c:v>
                </c:pt>
                <c:pt idx="1">
                  <c:v>7</c:v>
                </c:pt>
                <c:pt idx="2">
                  <c:v>7.3</c:v>
                </c:pt>
                <c:pt idx="3">
                  <c:v>7.21</c:v>
                </c:pt>
                <c:pt idx="4">
                  <c:v>6.68</c:v>
                </c:pt>
                <c:pt idx="5">
                  <c:v>7.48</c:v>
                </c:pt>
                <c:pt idx="6">
                  <c:v>7.62</c:v>
                </c:pt>
                <c:pt idx="7">
                  <c:v>7.76</c:v>
                </c:pt>
                <c:pt idx="8">
                  <c:v>8.1300000000000008</c:v>
                </c:pt>
                <c:pt idx="9">
                  <c:v>6.32</c:v>
                </c:pt>
                <c:pt idx="10">
                  <c:v>6.89</c:v>
                </c:pt>
                <c:pt idx="11">
                  <c:v>7</c:v>
                </c:pt>
                <c:pt idx="12">
                  <c:v>6.8</c:v>
                </c:pt>
                <c:pt idx="13">
                  <c:v>8.83</c:v>
                </c:pt>
                <c:pt idx="14" formatCode="0.00">
                  <c:v>7.0147916666666603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8-48B4-9C3B-18F1BB42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6796"/>
        <c:axId val="556547130"/>
      </c:areaChart>
      <c:catAx>
        <c:axId val="2080436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56547130"/>
        <c:crosses val="autoZero"/>
        <c:auto val="1"/>
        <c:lblAlgn val="ctr"/>
        <c:lblOffset val="100"/>
        <c:noMultiLvlLbl val="1"/>
      </c:catAx>
      <c:valAx>
        <c:axId val="55654713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804367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16-17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año'!$E$174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año'!$E$175:$E$189</c:f>
              <c:numCache>
                <c:formatCode>0.00%</c:formatCode>
                <c:ptCount val="15"/>
                <c:pt idx="0">
                  <c:v>0.6</c:v>
                </c:pt>
                <c:pt idx="1">
                  <c:v>0.8286</c:v>
                </c:pt>
                <c:pt idx="2">
                  <c:v>0.65710000000000002</c:v>
                </c:pt>
                <c:pt idx="3">
                  <c:v>0.8</c:v>
                </c:pt>
                <c:pt idx="4">
                  <c:v>0.875</c:v>
                </c:pt>
                <c:pt idx="5">
                  <c:v>0.77780000000000005</c:v>
                </c:pt>
                <c:pt idx="6">
                  <c:v>0.54549999999999998</c:v>
                </c:pt>
                <c:pt idx="7">
                  <c:v>1</c:v>
                </c:pt>
                <c:pt idx="8">
                  <c:v>0.5</c:v>
                </c:pt>
                <c:pt idx="9">
                  <c:v>1</c:v>
                </c:pt>
                <c:pt idx="10">
                  <c:v>0.76919999999999999</c:v>
                </c:pt>
                <c:pt idx="11">
                  <c:v>0</c:v>
                </c:pt>
                <c:pt idx="12">
                  <c:v>0.66669999999999996</c:v>
                </c:pt>
                <c:pt idx="13">
                  <c:v>0</c:v>
                </c:pt>
                <c:pt idx="14">
                  <c:v>0.94289999999999996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6-4207-8830-29E1C66714AE}"/>
            </c:ext>
          </c:extLst>
        </c:ser>
        <c:ser>
          <c:idx val="1"/>
          <c:order val="1"/>
          <c:tx>
            <c:strRef>
              <c:f>'Por año'!$H$174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año'!$D$175:$D$189</c:f>
              <c:strCache>
                <c:ptCount val="15"/>
                <c:pt idx="0">
                  <c:v>Lengua(35)</c:v>
                </c:pt>
                <c:pt idx="1">
                  <c:v>Inglés(35)</c:v>
                </c:pt>
                <c:pt idx="2">
                  <c:v>Historia(35)</c:v>
                </c:pt>
                <c:pt idx="3">
                  <c:v>Mate(20)</c:v>
                </c:pt>
                <c:pt idx="4">
                  <c:v>Mate CCSS(16)</c:v>
                </c:pt>
                <c:pt idx="5">
                  <c:v>Física(18)</c:v>
                </c:pt>
                <c:pt idx="6">
                  <c:v>Química(11)</c:v>
                </c:pt>
                <c:pt idx="7">
                  <c:v>Biología(6)</c:v>
                </c:pt>
                <c:pt idx="8">
                  <c:v>Dibujo Técnico(2)</c:v>
                </c:pt>
                <c:pt idx="9">
                  <c:v>Economía(12)</c:v>
                </c:pt>
                <c:pt idx="10">
                  <c:v>H. Filosofía(13)</c:v>
                </c:pt>
                <c:pt idx="11">
                  <c:v>H. Arte(0)</c:v>
                </c:pt>
                <c:pt idx="12">
                  <c:v>Geografía(3)</c:v>
                </c:pt>
                <c:pt idx="13">
                  <c:v>Francés(0)</c:v>
                </c:pt>
                <c:pt idx="14">
                  <c:v>Fase General(35)</c:v>
                </c:pt>
              </c:strCache>
            </c:strRef>
          </c:cat>
          <c:val>
            <c:numRef>
              <c:f>'Por año'!$H$175:$H$189</c:f>
              <c:numCache>
                <c:formatCode>0.00%</c:formatCode>
                <c:ptCount val="15"/>
                <c:pt idx="0">
                  <c:v>0.78559999999999997</c:v>
                </c:pt>
                <c:pt idx="1">
                  <c:v>0.76480000000000004</c:v>
                </c:pt>
                <c:pt idx="2">
                  <c:v>0.63880000000000003</c:v>
                </c:pt>
                <c:pt idx="3">
                  <c:v>0.76019999999999999</c:v>
                </c:pt>
                <c:pt idx="4">
                  <c:v>0.58650000000000002</c:v>
                </c:pt>
                <c:pt idx="5">
                  <c:v>0.66700000000000004</c:v>
                </c:pt>
                <c:pt idx="6">
                  <c:v>0.53610000000000002</c:v>
                </c:pt>
                <c:pt idx="7">
                  <c:v>0.86329999999999996</c:v>
                </c:pt>
                <c:pt idx="8">
                  <c:v>0.44819999999999999</c:v>
                </c:pt>
                <c:pt idx="9">
                  <c:v>0.69869999999999999</c:v>
                </c:pt>
                <c:pt idx="10">
                  <c:v>0.7077</c:v>
                </c:pt>
                <c:pt idx="11">
                  <c:v>0.71009999999999995</c:v>
                </c:pt>
                <c:pt idx="12">
                  <c:v>0.74480000000000002</c:v>
                </c:pt>
                <c:pt idx="13">
                  <c:v>1</c:v>
                </c:pt>
                <c:pt idx="14">
                  <c:v>0.88959999999999995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6-4207-8830-29E1C6671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571089"/>
        <c:axId val="1026732104"/>
      </c:areaChart>
      <c:catAx>
        <c:axId val="1684571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26732104"/>
        <c:crosses val="autoZero"/>
        <c:auto val="1"/>
        <c:lblAlgn val="ctr"/>
        <c:lblOffset val="100"/>
        <c:noMultiLvlLbl val="1"/>
      </c:catAx>
      <c:valAx>
        <c:axId val="102673210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845710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17-18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año'!$E$155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año'!$E$156:$E$170</c:f>
              <c:numCache>
                <c:formatCode>0.00%</c:formatCode>
                <c:ptCount val="15"/>
                <c:pt idx="0">
                  <c:v>0.5806</c:v>
                </c:pt>
                <c:pt idx="1">
                  <c:v>0.7419</c:v>
                </c:pt>
                <c:pt idx="2">
                  <c:v>0.7097</c:v>
                </c:pt>
                <c:pt idx="3">
                  <c:v>0.38890000000000002</c:v>
                </c:pt>
                <c:pt idx="4">
                  <c:v>1</c:v>
                </c:pt>
                <c:pt idx="5">
                  <c:v>0.5333</c:v>
                </c:pt>
                <c:pt idx="6">
                  <c:v>0.85709999999999997</c:v>
                </c:pt>
                <c:pt idx="7">
                  <c:v>0.88890000000000002</c:v>
                </c:pt>
                <c:pt idx="8">
                  <c:v>0.5</c:v>
                </c:pt>
                <c:pt idx="9">
                  <c:v>0.85709999999999997</c:v>
                </c:pt>
                <c:pt idx="10">
                  <c:v>0</c:v>
                </c:pt>
                <c:pt idx="11">
                  <c:v>0.83330000000000004</c:v>
                </c:pt>
                <c:pt idx="12">
                  <c:v>0.375</c:v>
                </c:pt>
                <c:pt idx="13">
                  <c:v>0</c:v>
                </c:pt>
                <c:pt idx="14">
                  <c:v>0.9355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D-449C-9AFE-512FF81919B1}"/>
            </c:ext>
          </c:extLst>
        </c:ser>
        <c:ser>
          <c:idx val="1"/>
          <c:order val="1"/>
          <c:tx>
            <c:strRef>
              <c:f>'Por año'!$H$155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año'!$D$156:$D$170</c:f>
              <c:strCache>
                <c:ptCount val="15"/>
                <c:pt idx="0">
                  <c:v>Lengua(31)</c:v>
                </c:pt>
                <c:pt idx="1">
                  <c:v>Inglés(31)</c:v>
                </c:pt>
                <c:pt idx="2">
                  <c:v>Historia(31)</c:v>
                </c:pt>
                <c:pt idx="3">
                  <c:v>Mate(18)</c:v>
                </c:pt>
                <c:pt idx="4">
                  <c:v>Mate CCSS(15)</c:v>
                </c:pt>
                <c:pt idx="5">
                  <c:v>Física(15)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Técnico(6)</c:v>
                </c:pt>
                <c:pt idx="9">
                  <c:v>Economía(7)</c:v>
                </c:pt>
                <c:pt idx="10">
                  <c:v>H. Filosofía(4)</c:v>
                </c:pt>
                <c:pt idx="11">
                  <c:v>H. Arte(6)</c:v>
                </c:pt>
                <c:pt idx="12">
                  <c:v>Geografía(8)</c:v>
                </c:pt>
                <c:pt idx="13">
                  <c:v>Francés(0)</c:v>
                </c:pt>
                <c:pt idx="14">
                  <c:v>Fase General(31)</c:v>
                </c:pt>
              </c:strCache>
            </c:strRef>
          </c:cat>
          <c:val>
            <c:numRef>
              <c:f>'Por año'!$H$156:$H$170</c:f>
              <c:numCache>
                <c:formatCode>0.00%</c:formatCode>
                <c:ptCount val="15"/>
                <c:pt idx="0">
                  <c:v>0.74339999999999995</c:v>
                </c:pt>
                <c:pt idx="1">
                  <c:v>0.77900000000000003</c:v>
                </c:pt>
                <c:pt idx="2">
                  <c:v>0.6754</c:v>
                </c:pt>
                <c:pt idx="3">
                  <c:v>0.66449999999999998</c:v>
                </c:pt>
                <c:pt idx="4">
                  <c:v>0.83230000000000004</c:v>
                </c:pt>
                <c:pt idx="5">
                  <c:v>0.56520000000000004</c:v>
                </c:pt>
                <c:pt idx="6">
                  <c:v>0.7198</c:v>
                </c:pt>
                <c:pt idx="7">
                  <c:v>0.70850000000000002</c:v>
                </c:pt>
                <c:pt idx="8">
                  <c:v>0.6129</c:v>
                </c:pt>
                <c:pt idx="9">
                  <c:v>0.71009999999999995</c:v>
                </c:pt>
                <c:pt idx="10">
                  <c:v>0.71870000000000001</c:v>
                </c:pt>
                <c:pt idx="11">
                  <c:v>0.76639999999999997</c:v>
                </c:pt>
                <c:pt idx="12">
                  <c:v>0.68030000000000002</c:v>
                </c:pt>
                <c:pt idx="13">
                  <c:v>0.9032</c:v>
                </c:pt>
                <c:pt idx="14">
                  <c:v>0.92259999999999998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D-449C-9AFE-512FF8191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73989"/>
        <c:axId val="1224361133"/>
      </c:areaChart>
      <c:catAx>
        <c:axId val="1551573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24361133"/>
        <c:crosses val="autoZero"/>
        <c:auto val="1"/>
        <c:lblAlgn val="ctr"/>
        <c:lblOffset val="100"/>
        <c:noMultiLvlLbl val="1"/>
      </c:catAx>
      <c:valAx>
        <c:axId val="122436113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515739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18-19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año'!$E$136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año'!$E$137:$E$151</c:f>
              <c:numCache>
                <c:formatCode>0.00%</c:formatCode>
                <c:ptCount val="15"/>
                <c:pt idx="0">
                  <c:v>0.69440000000000002</c:v>
                </c:pt>
                <c:pt idx="1">
                  <c:v>0.80559999999999998</c:v>
                </c:pt>
                <c:pt idx="2">
                  <c:v>0.58330000000000004</c:v>
                </c:pt>
                <c:pt idx="3">
                  <c:v>0.88239999999999996</c:v>
                </c:pt>
                <c:pt idx="4">
                  <c:v>0.7</c:v>
                </c:pt>
                <c:pt idx="5">
                  <c:v>0.76470000000000005</c:v>
                </c:pt>
                <c:pt idx="6">
                  <c:v>1</c:v>
                </c:pt>
                <c:pt idx="7">
                  <c:v>0.88890000000000002</c:v>
                </c:pt>
                <c:pt idx="8">
                  <c:v>0.5</c:v>
                </c:pt>
                <c:pt idx="9">
                  <c:v>0.64290000000000003</c:v>
                </c:pt>
                <c:pt idx="10">
                  <c:v>1</c:v>
                </c:pt>
                <c:pt idx="11">
                  <c:v>0.66669999999999996</c:v>
                </c:pt>
                <c:pt idx="12">
                  <c:v>0.5</c:v>
                </c:pt>
                <c:pt idx="13" formatCode="General">
                  <c:v>0</c:v>
                </c:pt>
                <c:pt idx="14">
                  <c:v>0.94440000000000002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AA7-B660-23741C3413D2}"/>
            </c:ext>
          </c:extLst>
        </c:ser>
        <c:ser>
          <c:idx val="1"/>
          <c:order val="1"/>
          <c:tx>
            <c:strRef>
              <c:f>'Por año'!$H$136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año'!$D$137:$D$151</c:f>
              <c:strCache>
                <c:ptCount val="15"/>
                <c:pt idx="0">
                  <c:v>Lengua(36)</c:v>
                </c:pt>
                <c:pt idx="1">
                  <c:v>Inglés(36)</c:v>
                </c:pt>
                <c:pt idx="2">
                  <c:v>Historia(36)</c:v>
                </c:pt>
                <c:pt idx="3">
                  <c:v>Mate(17)</c:v>
                </c:pt>
                <c:pt idx="4">
                  <c:v>Mate CCSS(20)</c:v>
                </c:pt>
                <c:pt idx="5">
                  <c:v>Física(17)</c:v>
                </c:pt>
                <c:pt idx="6">
                  <c:v>Química(14)</c:v>
                </c:pt>
                <c:pt idx="7">
                  <c:v>Biología(9)</c:v>
                </c:pt>
                <c:pt idx="8">
                  <c:v>Dibujo Técnico(4)</c:v>
                </c:pt>
                <c:pt idx="9">
                  <c:v>Economía(14)</c:v>
                </c:pt>
                <c:pt idx="10">
                  <c:v>H. Filosofía(10)</c:v>
                </c:pt>
                <c:pt idx="11">
                  <c:v>H. Arte(4)</c:v>
                </c:pt>
                <c:pt idx="12">
                  <c:v>Geografía(12)</c:v>
                </c:pt>
                <c:pt idx="13">
                  <c:v>Francés(0)</c:v>
                </c:pt>
                <c:pt idx="14">
                  <c:v>Fase General(36)</c:v>
                </c:pt>
              </c:strCache>
            </c:strRef>
          </c:cat>
          <c:val>
            <c:numRef>
              <c:f>'Por año'!$H$137:$H$151</c:f>
              <c:numCache>
                <c:formatCode>0.00%</c:formatCode>
                <c:ptCount val="15"/>
                <c:pt idx="0">
                  <c:v>0.80300000000000005</c:v>
                </c:pt>
                <c:pt idx="1">
                  <c:v>0.80449999999999999</c:v>
                </c:pt>
                <c:pt idx="2">
                  <c:v>0.64149999999999996</c:v>
                </c:pt>
                <c:pt idx="3">
                  <c:v>0.73660000000000003</c:v>
                </c:pt>
                <c:pt idx="4">
                  <c:v>0.55489999999999995</c:v>
                </c:pt>
                <c:pt idx="5">
                  <c:v>0.52800000000000002</c:v>
                </c:pt>
                <c:pt idx="6">
                  <c:v>0.77290000000000003</c:v>
                </c:pt>
                <c:pt idx="7">
                  <c:v>0.78100000000000003</c:v>
                </c:pt>
                <c:pt idx="8">
                  <c:v>0.4501</c:v>
                </c:pt>
                <c:pt idx="9">
                  <c:v>0.58650000000000002</c:v>
                </c:pt>
                <c:pt idx="10">
                  <c:v>0.74539999999999995</c:v>
                </c:pt>
                <c:pt idx="11">
                  <c:v>0.76490000000000002</c:v>
                </c:pt>
                <c:pt idx="12">
                  <c:v>0.54269999999999996</c:v>
                </c:pt>
                <c:pt idx="13">
                  <c:v>0.90429999999999999</c:v>
                </c:pt>
                <c:pt idx="14">
                  <c:v>0.90859999999999996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1-4AA7-B660-23741C341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69263"/>
        <c:axId val="345302376"/>
      </c:areaChart>
      <c:catAx>
        <c:axId val="3686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45302376"/>
        <c:crosses val="autoZero"/>
        <c:auto val="1"/>
        <c:lblAlgn val="ctr"/>
        <c:lblOffset val="100"/>
        <c:noMultiLvlLbl val="1"/>
      </c:catAx>
      <c:valAx>
        <c:axId val="34530237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68692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Aprobados 19-20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año'!$E$117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año'!$E$118:$E$132</c:f>
              <c:numCache>
                <c:formatCode>0.00%</c:formatCode>
                <c:ptCount val="15"/>
                <c:pt idx="0">
                  <c:v>0.62</c:v>
                </c:pt>
                <c:pt idx="1">
                  <c:v>0.8</c:v>
                </c:pt>
                <c:pt idx="2">
                  <c:v>0.6</c:v>
                </c:pt>
                <c:pt idx="3">
                  <c:v>0.8387</c:v>
                </c:pt>
                <c:pt idx="4">
                  <c:v>0.85</c:v>
                </c:pt>
                <c:pt idx="5">
                  <c:v>0.77780000000000005</c:v>
                </c:pt>
                <c:pt idx="6">
                  <c:v>0.68179999999999996</c:v>
                </c:pt>
                <c:pt idx="7">
                  <c:v>0.90910000000000002</c:v>
                </c:pt>
                <c:pt idx="8">
                  <c:v>0.85709999999999997</c:v>
                </c:pt>
                <c:pt idx="9">
                  <c:v>0.84619999999999995</c:v>
                </c:pt>
                <c:pt idx="10">
                  <c:v>0.81820000000000004</c:v>
                </c:pt>
                <c:pt idx="11">
                  <c:v>0.83330000000000004</c:v>
                </c:pt>
                <c:pt idx="12">
                  <c:v>0.5</c:v>
                </c:pt>
                <c:pt idx="13">
                  <c:v>1</c:v>
                </c:pt>
                <c:pt idx="14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E-4B86-B6C0-669160FD912E}"/>
            </c:ext>
          </c:extLst>
        </c:ser>
        <c:ser>
          <c:idx val="1"/>
          <c:order val="1"/>
          <c:tx>
            <c:strRef>
              <c:f>'Por año'!$H$117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año'!$D$118:$D$132</c:f>
              <c:strCache>
                <c:ptCount val="15"/>
                <c:pt idx="0">
                  <c:v>Lengua(50)</c:v>
                </c:pt>
                <c:pt idx="1">
                  <c:v>Inglés(50)</c:v>
                </c:pt>
                <c:pt idx="2">
                  <c:v>Historia(50)</c:v>
                </c:pt>
                <c:pt idx="3">
                  <c:v>Mate(31)</c:v>
                </c:pt>
                <c:pt idx="4">
                  <c:v>Mate CCSS(20)</c:v>
                </c:pt>
                <c:pt idx="5">
                  <c:v>Física(28)</c:v>
                </c:pt>
                <c:pt idx="6">
                  <c:v>Química(22)</c:v>
                </c:pt>
                <c:pt idx="7">
                  <c:v>Biología(11)</c:v>
                </c:pt>
                <c:pt idx="8">
                  <c:v>Dibujo Técnico(7)</c:v>
                </c:pt>
                <c:pt idx="9">
                  <c:v>Economía(13)</c:v>
                </c:pt>
                <c:pt idx="10">
                  <c:v>H. Filosofía(11)</c:v>
                </c:pt>
                <c:pt idx="11">
                  <c:v>H. Arte(6)</c:v>
                </c:pt>
                <c:pt idx="12">
                  <c:v>Geografía(10)</c:v>
                </c:pt>
                <c:pt idx="13">
                  <c:v>Francés(2)</c:v>
                </c:pt>
                <c:pt idx="14">
                  <c:v>Fase General(50)</c:v>
                </c:pt>
              </c:strCache>
            </c:strRef>
          </c:cat>
          <c:val>
            <c:numRef>
              <c:f>'Por año'!$H$118:$H$132</c:f>
              <c:numCache>
                <c:formatCode>0.00%</c:formatCode>
                <c:ptCount val="15"/>
                <c:pt idx="0">
                  <c:v>0.78600000000000003</c:v>
                </c:pt>
                <c:pt idx="1">
                  <c:v>0.78490000000000004</c:v>
                </c:pt>
                <c:pt idx="2">
                  <c:v>0.69810000000000005</c:v>
                </c:pt>
                <c:pt idx="3">
                  <c:v>0.76070000000000004</c:v>
                </c:pt>
                <c:pt idx="4">
                  <c:v>0.59989999999999999</c:v>
                </c:pt>
                <c:pt idx="5">
                  <c:v>0.81659999999999999</c:v>
                </c:pt>
                <c:pt idx="6">
                  <c:v>0.69730000000000003</c:v>
                </c:pt>
                <c:pt idx="7">
                  <c:v>0.71619999999999995</c:v>
                </c:pt>
                <c:pt idx="8">
                  <c:v>0.83</c:v>
                </c:pt>
                <c:pt idx="9">
                  <c:v>0.77400000000000002</c:v>
                </c:pt>
                <c:pt idx="10">
                  <c:v>0.83299999999999996</c:v>
                </c:pt>
                <c:pt idx="11">
                  <c:v>0.61329999999999996</c:v>
                </c:pt>
                <c:pt idx="12">
                  <c:v>0.69359999999999999</c:v>
                </c:pt>
                <c:pt idx="13">
                  <c:v>0.89470000000000005</c:v>
                </c:pt>
                <c:pt idx="14">
                  <c:v>0.90239999999999998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E-4B86-B6C0-669160FD9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354178"/>
        <c:axId val="2099703950"/>
      </c:areaChart>
      <c:catAx>
        <c:axId val="930354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99703950"/>
        <c:crosses val="autoZero"/>
        <c:auto val="1"/>
        <c:lblAlgn val="ctr"/>
        <c:lblOffset val="100"/>
        <c:noMultiLvlLbl val="1"/>
      </c:catAx>
      <c:valAx>
        <c:axId val="209970395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303541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Aprobados 20-21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año'!$E$98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año'!$E$99:$E$113</c:f>
              <c:numCache>
                <c:formatCode>0.00%</c:formatCode>
                <c:ptCount val="15"/>
                <c:pt idx="0">
                  <c:v>0.70830000000000004</c:v>
                </c:pt>
                <c:pt idx="1">
                  <c:v>0.59179999999999999</c:v>
                </c:pt>
                <c:pt idx="2">
                  <c:v>0.67349999999999999</c:v>
                </c:pt>
                <c:pt idx="3">
                  <c:v>0.80649999999999999</c:v>
                </c:pt>
                <c:pt idx="4">
                  <c:v>0.84209999999999996</c:v>
                </c:pt>
                <c:pt idx="5">
                  <c:v>0.79169999999999996</c:v>
                </c:pt>
                <c:pt idx="6">
                  <c:v>0.96299999999999997</c:v>
                </c:pt>
                <c:pt idx="7">
                  <c:v>1</c:v>
                </c:pt>
                <c:pt idx="8">
                  <c:v>0.33329999999999999</c:v>
                </c:pt>
                <c:pt idx="9">
                  <c:v>1</c:v>
                </c:pt>
                <c:pt idx="10">
                  <c:v>0.75</c:v>
                </c:pt>
                <c:pt idx="11">
                  <c:v>1</c:v>
                </c:pt>
                <c:pt idx="12">
                  <c:v>0.8</c:v>
                </c:pt>
                <c:pt idx="13">
                  <c:v>1</c:v>
                </c:pt>
                <c:pt idx="14">
                  <c:v>0.95920000000000005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C-47CF-B70D-06C0BC9F1999}"/>
            </c:ext>
          </c:extLst>
        </c:ser>
        <c:ser>
          <c:idx val="1"/>
          <c:order val="1"/>
          <c:tx>
            <c:strRef>
              <c:f>'Por año'!$H$98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'Por año'!$D$99:$D$113</c:f>
              <c:strCache>
                <c:ptCount val="15"/>
                <c:pt idx="0">
                  <c:v>Lengua(49)</c:v>
                </c:pt>
                <c:pt idx="1">
                  <c:v>Inglés(49)</c:v>
                </c:pt>
                <c:pt idx="2">
                  <c:v>Historia(49)</c:v>
                </c:pt>
                <c:pt idx="3">
                  <c:v>Mate(31)</c:v>
                </c:pt>
                <c:pt idx="4">
                  <c:v>Mate CCSS(19)</c:v>
                </c:pt>
                <c:pt idx="5">
                  <c:v>Física(24)</c:v>
                </c:pt>
                <c:pt idx="6">
                  <c:v>Química(27)</c:v>
                </c:pt>
                <c:pt idx="7">
                  <c:v>Biología(8)</c:v>
                </c:pt>
                <c:pt idx="8">
                  <c:v>Dibujo Técnico(3)</c:v>
                </c:pt>
                <c:pt idx="9">
                  <c:v>Economía(14)</c:v>
                </c:pt>
                <c:pt idx="10">
                  <c:v>H. Filosofía(4)</c:v>
                </c:pt>
                <c:pt idx="11">
                  <c:v>H. Arte(3)</c:v>
                </c:pt>
                <c:pt idx="12">
                  <c:v>Geografía(5)</c:v>
                </c:pt>
                <c:pt idx="13">
                  <c:v>Francés(1)</c:v>
                </c:pt>
                <c:pt idx="14">
                  <c:v>Fase General(49)</c:v>
                </c:pt>
              </c:strCache>
            </c:strRef>
          </c:cat>
          <c:val>
            <c:numRef>
              <c:f>'Por año'!$H$99:$H$113</c:f>
              <c:numCache>
                <c:formatCode>0.00%</c:formatCode>
                <c:ptCount val="15"/>
                <c:pt idx="0">
                  <c:v>0.83320000000000005</c:v>
                </c:pt>
                <c:pt idx="1">
                  <c:v>0.77980000000000005</c:v>
                </c:pt>
                <c:pt idx="2">
                  <c:v>0.76919999999999999</c:v>
                </c:pt>
                <c:pt idx="3">
                  <c:v>0.71540000000000004</c:v>
                </c:pt>
                <c:pt idx="4">
                  <c:v>0.65680000000000005</c:v>
                </c:pt>
                <c:pt idx="5">
                  <c:v>0.77890000000000004</c:v>
                </c:pt>
                <c:pt idx="6">
                  <c:v>0.90310000000000001</c:v>
                </c:pt>
                <c:pt idx="7">
                  <c:v>0.85009999999999997</c:v>
                </c:pt>
                <c:pt idx="8">
                  <c:v>0.64529999999999998</c:v>
                </c:pt>
                <c:pt idx="9">
                  <c:v>0.82809999999999995</c:v>
                </c:pt>
                <c:pt idx="10">
                  <c:v>0.77300000000000002</c:v>
                </c:pt>
                <c:pt idx="11">
                  <c:v>0.74850000000000005</c:v>
                </c:pt>
                <c:pt idx="12">
                  <c:v>0.83899999999999997</c:v>
                </c:pt>
                <c:pt idx="13">
                  <c:v>0.7903</c:v>
                </c:pt>
                <c:pt idx="14">
                  <c:v>0.93679999999999997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C-47CF-B70D-06C0BC9F1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337794"/>
        <c:axId val="36013257"/>
      </c:areaChart>
      <c:catAx>
        <c:axId val="135433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6013257"/>
        <c:crosses val="autoZero"/>
        <c:auto val="1"/>
        <c:lblAlgn val="ctr"/>
        <c:lblOffset val="100"/>
        <c:noMultiLvlLbl val="1"/>
      </c:catAx>
      <c:valAx>
        <c:axId val="3601325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5433779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22-23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año'!$F$60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'Por año'!$D$61:$D$75</c:f>
              <c:strCache>
                <c:ptCount val="15"/>
                <c:pt idx="0">
                  <c:v>Lengua(43)</c:v>
                </c:pt>
                <c:pt idx="1">
                  <c:v>Inglés(43)</c:v>
                </c:pt>
                <c:pt idx="2">
                  <c:v>Historia(43)</c:v>
                </c:pt>
                <c:pt idx="3">
                  <c:v>Mate(25)</c:v>
                </c:pt>
                <c:pt idx="4">
                  <c:v>Mate CCSS(18)</c:v>
                </c:pt>
                <c:pt idx="5">
                  <c:v>Física(21)</c:v>
                </c:pt>
                <c:pt idx="6">
                  <c:v>Química(13)</c:v>
                </c:pt>
                <c:pt idx="7">
                  <c:v>Biología(6)</c:v>
                </c:pt>
                <c:pt idx="8">
                  <c:v>Dibujo Técnico(8)</c:v>
                </c:pt>
                <c:pt idx="9">
                  <c:v>Economía(11)</c:v>
                </c:pt>
                <c:pt idx="10">
                  <c:v>H. Filosofía(7)</c:v>
                </c:pt>
                <c:pt idx="11">
                  <c:v>H. Arte(5)</c:v>
                </c:pt>
                <c:pt idx="12">
                  <c:v>Geografía(1)</c:v>
                </c:pt>
                <c:pt idx="13">
                  <c:v>Francés(0)</c:v>
                </c:pt>
                <c:pt idx="14">
                  <c:v>Fase General(43)</c:v>
                </c:pt>
              </c:strCache>
            </c:strRef>
          </c:cat>
          <c:val>
            <c:numRef>
              <c:f>'Por año'!$F$61:$F$75</c:f>
              <c:numCache>
                <c:formatCode>General</c:formatCode>
                <c:ptCount val="15"/>
                <c:pt idx="0">
                  <c:v>5.68</c:v>
                </c:pt>
                <c:pt idx="1">
                  <c:v>6.55</c:v>
                </c:pt>
                <c:pt idx="2">
                  <c:v>6.31</c:v>
                </c:pt>
                <c:pt idx="3">
                  <c:v>6.78</c:v>
                </c:pt>
                <c:pt idx="4">
                  <c:v>7.71</c:v>
                </c:pt>
                <c:pt idx="5">
                  <c:v>7.27</c:v>
                </c:pt>
                <c:pt idx="6">
                  <c:v>6.68</c:v>
                </c:pt>
                <c:pt idx="7">
                  <c:v>6.71</c:v>
                </c:pt>
                <c:pt idx="8">
                  <c:v>5.53</c:v>
                </c:pt>
                <c:pt idx="9">
                  <c:v>8.23</c:v>
                </c:pt>
                <c:pt idx="10">
                  <c:v>6.21</c:v>
                </c:pt>
                <c:pt idx="11">
                  <c:v>4.75</c:v>
                </c:pt>
                <c:pt idx="12">
                  <c:v>7.25</c:v>
                </c:pt>
                <c:pt idx="13">
                  <c:v>0</c:v>
                </c:pt>
                <c:pt idx="14" formatCode="0.00">
                  <c:v>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5-4D08-829E-59426F932C52}"/>
            </c:ext>
          </c:extLst>
        </c:ser>
        <c:ser>
          <c:idx val="1"/>
          <c:order val="1"/>
          <c:tx>
            <c:strRef>
              <c:f>'Por año'!$G$60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año'!$D$61:$D$75</c:f>
              <c:strCache>
                <c:ptCount val="15"/>
                <c:pt idx="0">
                  <c:v>Lengua(43)</c:v>
                </c:pt>
                <c:pt idx="1">
                  <c:v>Inglés(43)</c:v>
                </c:pt>
                <c:pt idx="2">
                  <c:v>Historia(43)</c:v>
                </c:pt>
                <c:pt idx="3">
                  <c:v>Mate(25)</c:v>
                </c:pt>
                <c:pt idx="4">
                  <c:v>Mate CCSS(18)</c:v>
                </c:pt>
                <c:pt idx="5">
                  <c:v>Física(21)</c:v>
                </c:pt>
                <c:pt idx="6">
                  <c:v>Química(13)</c:v>
                </c:pt>
                <c:pt idx="7">
                  <c:v>Biología(6)</c:v>
                </c:pt>
                <c:pt idx="8">
                  <c:v>Dibujo Técnico(8)</c:v>
                </c:pt>
                <c:pt idx="9">
                  <c:v>Economía(11)</c:v>
                </c:pt>
                <c:pt idx="10">
                  <c:v>H. Filosofía(7)</c:v>
                </c:pt>
                <c:pt idx="11">
                  <c:v>H. Arte(5)</c:v>
                </c:pt>
                <c:pt idx="12">
                  <c:v>Geografía(1)</c:v>
                </c:pt>
                <c:pt idx="13">
                  <c:v>Francés(0)</c:v>
                </c:pt>
                <c:pt idx="14">
                  <c:v>Fase General(43)</c:v>
                </c:pt>
              </c:strCache>
            </c:strRef>
          </c:cat>
          <c:val>
            <c:numRef>
              <c:f>'Por año'!$G$61:$G$75</c:f>
              <c:numCache>
                <c:formatCode>General</c:formatCode>
                <c:ptCount val="15"/>
                <c:pt idx="0">
                  <c:v>7.2</c:v>
                </c:pt>
                <c:pt idx="1">
                  <c:v>6.84</c:v>
                </c:pt>
                <c:pt idx="2">
                  <c:v>7.3</c:v>
                </c:pt>
                <c:pt idx="3">
                  <c:v>6.92</c:v>
                </c:pt>
                <c:pt idx="4">
                  <c:v>7.11</c:v>
                </c:pt>
                <c:pt idx="5">
                  <c:v>7.2</c:v>
                </c:pt>
                <c:pt idx="6">
                  <c:v>6.68</c:v>
                </c:pt>
                <c:pt idx="7">
                  <c:v>7.86</c:v>
                </c:pt>
                <c:pt idx="8">
                  <c:v>7.41</c:v>
                </c:pt>
                <c:pt idx="9">
                  <c:v>7</c:v>
                </c:pt>
                <c:pt idx="10">
                  <c:v>7.32</c:v>
                </c:pt>
                <c:pt idx="11">
                  <c:v>7.07</c:v>
                </c:pt>
                <c:pt idx="12">
                  <c:v>8</c:v>
                </c:pt>
                <c:pt idx="13">
                  <c:v>0</c:v>
                </c:pt>
                <c:pt idx="14" formatCode="0.00">
                  <c:v>7.0848837209302298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5-4D08-829E-59426F93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437414"/>
        <c:axId val="1931555710"/>
      </c:areaChart>
      <c:catAx>
        <c:axId val="1393437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31555710"/>
        <c:crosses val="autoZero"/>
        <c:auto val="1"/>
        <c:lblAlgn val="ctr"/>
        <c:lblOffset val="100"/>
        <c:noMultiLvlLbl val="1"/>
      </c:catAx>
      <c:valAx>
        <c:axId val="193155571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9343741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23-24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año'!$F$41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chemeClr val="accent1">
                <a:alpha val="3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'Por año'!$D$42:$D$56</c:f>
              <c:strCache>
                <c:ptCount val="15"/>
                <c:pt idx="0">
                  <c:v>Lengua(44)</c:v>
                </c:pt>
                <c:pt idx="1">
                  <c:v>Inglés(44)</c:v>
                </c:pt>
                <c:pt idx="2">
                  <c:v>Historia(18)</c:v>
                </c:pt>
                <c:pt idx="3">
                  <c:v>Mate(35)</c:v>
                </c:pt>
                <c:pt idx="4">
                  <c:v>Mate CCSS(9)</c:v>
                </c:pt>
                <c:pt idx="5">
                  <c:v>Física(26)</c:v>
                </c:pt>
                <c:pt idx="6">
                  <c:v>Química(28)</c:v>
                </c:pt>
                <c:pt idx="7">
                  <c:v>Biología(10)</c:v>
                </c:pt>
                <c:pt idx="8">
                  <c:v>Dibujo Técnico(2)</c:v>
                </c:pt>
                <c:pt idx="9">
                  <c:v>Economía(8)</c:v>
                </c:pt>
                <c:pt idx="10">
                  <c:v>H. Filosofía(27)</c:v>
                </c:pt>
                <c:pt idx="11">
                  <c:v>H. Arte(0)</c:v>
                </c:pt>
                <c:pt idx="12">
                  <c:v>Geografía(1)</c:v>
                </c:pt>
                <c:pt idx="13">
                  <c:v>Francés(0)</c:v>
                </c:pt>
                <c:pt idx="14">
                  <c:v>Fase General(44)</c:v>
                </c:pt>
              </c:strCache>
            </c:strRef>
          </c:cat>
          <c:val>
            <c:numRef>
              <c:f>'Por año'!$F$42:$F$56</c:f>
              <c:numCache>
                <c:formatCode>General</c:formatCode>
                <c:ptCount val="15"/>
                <c:pt idx="0">
                  <c:v>5.66</c:v>
                </c:pt>
                <c:pt idx="1">
                  <c:v>5.85</c:v>
                </c:pt>
                <c:pt idx="2">
                  <c:v>5.55</c:v>
                </c:pt>
                <c:pt idx="3">
                  <c:v>5.87</c:v>
                </c:pt>
                <c:pt idx="4">
                  <c:v>7.04</c:v>
                </c:pt>
                <c:pt idx="5">
                  <c:v>6.21</c:v>
                </c:pt>
                <c:pt idx="6">
                  <c:v>6.1</c:v>
                </c:pt>
                <c:pt idx="7">
                  <c:v>5.75</c:v>
                </c:pt>
                <c:pt idx="8">
                  <c:v>5.88</c:v>
                </c:pt>
                <c:pt idx="9">
                  <c:v>5.94</c:v>
                </c:pt>
                <c:pt idx="10">
                  <c:v>6.3</c:v>
                </c:pt>
                <c:pt idx="12">
                  <c:v>8.25</c:v>
                </c:pt>
                <c:pt idx="14" formatCode="0.00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E-40BB-9B03-7371AB64D5EB}"/>
            </c:ext>
          </c:extLst>
        </c:ser>
        <c:ser>
          <c:idx val="1"/>
          <c:order val="1"/>
          <c:tx>
            <c:strRef>
              <c:f>'Por año'!$G$41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año'!$D$42:$D$56</c:f>
              <c:strCache>
                <c:ptCount val="15"/>
                <c:pt idx="0">
                  <c:v>Lengua(44)</c:v>
                </c:pt>
                <c:pt idx="1">
                  <c:v>Inglés(44)</c:v>
                </c:pt>
                <c:pt idx="2">
                  <c:v>Historia(18)</c:v>
                </c:pt>
                <c:pt idx="3">
                  <c:v>Mate(35)</c:v>
                </c:pt>
                <c:pt idx="4">
                  <c:v>Mate CCSS(9)</c:v>
                </c:pt>
                <c:pt idx="5">
                  <c:v>Física(26)</c:v>
                </c:pt>
                <c:pt idx="6">
                  <c:v>Química(28)</c:v>
                </c:pt>
                <c:pt idx="7">
                  <c:v>Biología(10)</c:v>
                </c:pt>
                <c:pt idx="8">
                  <c:v>Dibujo Técnico(2)</c:v>
                </c:pt>
                <c:pt idx="9">
                  <c:v>Economía(8)</c:v>
                </c:pt>
                <c:pt idx="10">
                  <c:v>H. Filosofía(27)</c:v>
                </c:pt>
                <c:pt idx="11">
                  <c:v>H. Arte(0)</c:v>
                </c:pt>
                <c:pt idx="12">
                  <c:v>Geografía(1)</c:v>
                </c:pt>
                <c:pt idx="13">
                  <c:v>Francés(0)</c:v>
                </c:pt>
                <c:pt idx="14">
                  <c:v>Fase General(44)</c:v>
                </c:pt>
              </c:strCache>
            </c:strRef>
          </c:cat>
          <c:val>
            <c:numRef>
              <c:f>'Por año'!$G$42:$G$56</c:f>
              <c:numCache>
                <c:formatCode>General</c:formatCode>
                <c:ptCount val="15"/>
                <c:pt idx="0">
                  <c:v>6.73</c:v>
                </c:pt>
                <c:pt idx="1">
                  <c:v>7</c:v>
                </c:pt>
                <c:pt idx="2">
                  <c:v>6.92</c:v>
                </c:pt>
                <c:pt idx="3">
                  <c:v>6.62</c:v>
                </c:pt>
                <c:pt idx="4">
                  <c:v>6.11</c:v>
                </c:pt>
                <c:pt idx="5">
                  <c:v>7</c:v>
                </c:pt>
                <c:pt idx="6">
                  <c:v>7.46</c:v>
                </c:pt>
                <c:pt idx="7">
                  <c:v>7.5</c:v>
                </c:pt>
                <c:pt idx="8">
                  <c:v>8.08</c:v>
                </c:pt>
                <c:pt idx="9">
                  <c:v>6.56</c:v>
                </c:pt>
                <c:pt idx="10">
                  <c:v>7.22</c:v>
                </c:pt>
                <c:pt idx="12">
                  <c:v>6.44</c:v>
                </c:pt>
                <c:pt idx="14" formatCode="0.00">
                  <c:v>6.8379096045197754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E-40BB-9B03-7371AB64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148531"/>
        <c:axId val="1700494929"/>
      </c:areaChart>
      <c:catAx>
        <c:axId val="2103148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00494929"/>
        <c:crosses val="autoZero"/>
        <c:auto val="1"/>
        <c:lblAlgn val="ctr"/>
        <c:lblOffset val="100"/>
        <c:noMultiLvlLbl val="1"/>
      </c:catAx>
      <c:valAx>
        <c:axId val="170049492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03148531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24-25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 año'!$F$22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chemeClr val="accent1">
                <a:alpha val="3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'Por año'!$D$23:$D$37</c:f>
              <c:strCache>
                <c:ptCount val="15"/>
                <c:pt idx="0">
                  <c:v>Lengua(37)</c:v>
                </c:pt>
                <c:pt idx="1">
                  <c:v>Inglés(37)</c:v>
                </c:pt>
                <c:pt idx="2">
                  <c:v>Historia(9)</c:v>
                </c:pt>
                <c:pt idx="3">
                  <c:v>Mate(30)</c:v>
                </c:pt>
                <c:pt idx="4">
                  <c:v>Mate CCSS(7)</c:v>
                </c:pt>
                <c:pt idx="5">
                  <c:v>Física(20)</c:v>
                </c:pt>
                <c:pt idx="6">
                  <c:v>Química(15)</c:v>
                </c:pt>
                <c:pt idx="7">
                  <c:v>Biología(11)</c:v>
                </c:pt>
                <c:pt idx="8">
                  <c:v>Dibujo Técnico(4)</c:v>
                </c:pt>
                <c:pt idx="9">
                  <c:v>Economía(5)</c:v>
                </c:pt>
                <c:pt idx="10">
                  <c:v>H. Filosofía(28)</c:v>
                </c:pt>
                <c:pt idx="11">
                  <c:v>H. Arte(0)</c:v>
                </c:pt>
                <c:pt idx="12">
                  <c:v>Geografía(2)</c:v>
                </c:pt>
                <c:pt idx="13">
                  <c:v>Tecno e Ing(0)</c:v>
                </c:pt>
                <c:pt idx="14">
                  <c:v>Fase General(37)</c:v>
                </c:pt>
              </c:strCache>
            </c:strRef>
          </c:cat>
          <c:val>
            <c:numRef>
              <c:f>'Por año'!$F$23:$F$37</c:f>
              <c:numCache>
                <c:formatCode>General</c:formatCode>
                <c:ptCount val="15"/>
                <c:pt idx="0">
                  <c:v>5.37</c:v>
                </c:pt>
                <c:pt idx="1">
                  <c:v>7.01</c:v>
                </c:pt>
                <c:pt idx="2">
                  <c:v>5.89</c:v>
                </c:pt>
                <c:pt idx="3">
                  <c:v>5.19</c:v>
                </c:pt>
                <c:pt idx="4">
                  <c:v>6.36</c:v>
                </c:pt>
                <c:pt idx="5">
                  <c:v>4.43</c:v>
                </c:pt>
                <c:pt idx="6">
                  <c:v>6.68</c:v>
                </c:pt>
                <c:pt idx="7">
                  <c:v>5</c:v>
                </c:pt>
                <c:pt idx="8">
                  <c:v>3.31</c:v>
                </c:pt>
                <c:pt idx="9">
                  <c:v>6.1</c:v>
                </c:pt>
                <c:pt idx="10">
                  <c:v>6.36</c:v>
                </c:pt>
                <c:pt idx="12">
                  <c:v>4.88</c:v>
                </c:pt>
                <c:pt idx="14" formatCode="0.00">
                  <c:v>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C-4DAB-AD2D-C24F83B36E88}"/>
            </c:ext>
          </c:extLst>
        </c:ser>
        <c:ser>
          <c:idx val="1"/>
          <c:order val="1"/>
          <c:tx>
            <c:strRef>
              <c:f>'Por año'!$G$22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cat>
            <c:strRef>
              <c:f>'Por año'!$D$23:$D$37</c:f>
              <c:strCache>
                <c:ptCount val="15"/>
                <c:pt idx="0">
                  <c:v>Lengua(37)</c:v>
                </c:pt>
                <c:pt idx="1">
                  <c:v>Inglés(37)</c:v>
                </c:pt>
                <c:pt idx="2">
                  <c:v>Historia(9)</c:v>
                </c:pt>
                <c:pt idx="3">
                  <c:v>Mate(30)</c:v>
                </c:pt>
                <c:pt idx="4">
                  <c:v>Mate CCSS(7)</c:v>
                </c:pt>
                <c:pt idx="5">
                  <c:v>Física(20)</c:v>
                </c:pt>
                <c:pt idx="6">
                  <c:v>Química(15)</c:v>
                </c:pt>
                <c:pt idx="7">
                  <c:v>Biología(11)</c:v>
                </c:pt>
                <c:pt idx="8">
                  <c:v>Dibujo Técnico(4)</c:v>
                </c:pt>
                <c:pt idx="9">
                  <c:v>Economía(5)</c:v>
                </c:pt>
                <c:pt idx="10">
                  <c:v>H. Filosofía(28)</c:v>
                </c:pt>
                <c:pt idx="11">
                  <c:v>H. Arte(0)</c:v>
                </c:pt>
                <c:pt idx="12">
                  <c:v>Geografía(2)</c:v>
                </c:pt>
                <c:pt idx="13">
                  <c:v>Tecno e Ing(0)</c:v>
                </c:pt>
                <c:pt idx="14">
                  <c:v>Fase General(37)</c:v>
                </c:pt>
              </c:strCache>
            </c:strRef>
          </c:cat>
          <c:val>
            <c:numRef>
              <c:f>'Por año'!$G$23:$G$37</c:f>
              <c:numCache>
                <c:formatCode>General</c:formatCode>
                <c:ptCount val="15"/>
                <c:pt idx="0">
                  <c:v>7.16</c:v>
                </c:pt>
                <c:pt idx="1">
                  <c:v>7</c:v>
                </c:pt>
                <c:pt idx="2">
                  <c:v>6.59</c:v>
                </c:pt>
                <c:pt idx="3">
                  <c:v>7</c:v>
                </c:pt>
                <c:pt idx="4">
                  <c:v>6.43</c:v>
                </c:pt>
                <c:pt idx="5">
                  <c:v>6.65</c:v>
                </c:pt>
                <c:pt idx="6">
                  <c:v>7.05</c:v>
                </c:pt>
                <c:pt idx="7">
                  <c:v>7.6</c:v>
                </c:pt>
                <c:pt idx="8">
                  <c:v>9.5</c:v>
                </c:pt>
                <c:pt idx="9">
                  <c:v>6</c:v>
                </c:pt>
                <c:pt idx="10">
                  <c:v>7.41</c:v>
                </c:pt>
                <c:pt idx="12">
                  <c:v>7.14</c:v>
                </c:pt>
                <c:pt idx="13">
                  <c:v>7.73</c:v>
                </c:pt>
                <c:pt idx="14" formatCode="0.00">
                  <c:v>7.065675675675676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C-4DAB-AD2D-C24F83B36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839124"/>
        <c:axId val="1366292342"/>
      </c:areaChart>
      <c:catAx>
        <c:axId val="1405839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66292342"/>
        <c:crosses val="autoZero"/>
        <c:auto val="1"/>
        <c:lblAlgn val="ctr"/>
        <c:lblOffset val="100"/>
        <c:noMultiLvlLbl val="1"/>
      </c:catAx>
      <c:valAx>
        <c:axId val="136629234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05839124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Titulados Bach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'Otros Coles'!$A$5</c:f>
              <c:strCache>
                <c:ptCount val="1"/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('Otros Coles'!$B$5,'Otros Coles'!$G$5,'Otros Coles'!$L$5,'Otros Coles'!$Q$5,'Otros Coles'!$V$5)</c:f>
              <c:strCache>
                <c:ptCount val="5"/>
                <c:pt idx="0">
                  <c:v>13/14</c:v>
                </c:pt>
                <c:pt idx="1">
                  <c:v>14/15</c:v>
                </c:pt>
                <c:pt idx="2">
                  <c:v>15/16</c:v>
                </c:pt>
                <c:pt idx="3">
                  <c:v>16/17</c:v>
                </c:pt>
                <c:pt idx="4">
                  <c:v>17/18</c:v>
                </c:pt>
              </c:strCache>
            </c:strRef>
          </c:cat>
          <c:val>
            <c:numRef>
              <c:f>('Otros Coles'!$B$5,'Otros Coles'!$G$5,'Otros Coles'!$L$5,'Otros Coles'!$Q$5,'Otros Coles'!$V$5)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D6-4DBE-A54E-4BD460D1D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362637"/>
        <c:axId val="1665528415"/>
      </c:barChart>
      <c:catAx>
        <c:axId val="2018362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65528415"/>
        <c:crosses val="autoZero"/>
        <c:auto val="1"/>
        <c:lblAlgn val="ctr"/>
        <c:lblOffset val="100"/>
        <c:noMultiLvlLbl val="1"/>
      </c:catAx>
      <c:valAx>
        <c:axId val="1665528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183626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Aprobados EvAU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701304"/>
        <c:axId val="727847988"/>
      </c:barChart>
      <c:catAx>
        <c:axId val="688701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27847988"/>
        <c:crosses val="autoZero"/>
        <c:auto val="1"/>
        <c:lblAlgn val="ctr"/>
        <c:lblOffset val="100"/>
        <c:noMultiLvlLbl val="1"/>
      </c:catAx>
      <c:valAx>
        <c:axId val="727847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88701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Alumnos Presentados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727052"/>
        <c:axId val="2117474981"/>
      </c:barChart>
      <c:catAx>
        <c:axId val="1924727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17474981"/>
        <c:crosses val="autoZero"/>
        <c:auto val="1"/>
        <c:lblAlgn val="ctr"/>
        <c:lblOffset val="100"/>
        <c:noMultiLvlLbl val="1"/>
      </c:catAx>
      <c:valAx>
        <c:axId val="2117474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247270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Evau Alumnos Aprobados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3444030"/>
        <c:axId val="1712044217"/>
      </c:barChart>
      <c:catAx>
        <c:axId val="603444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12044217"/>
        <c:crosses val="autoZero"/>
        <c:auto val="1"/>
        <c:lblAlgn val="ctr"/>
        <c:lblOffset val="100"/>
        <c:noMultiLvlLbl val="1"/>
      </c:catAx>
      <c:valAx>
        <c:axId val="1712044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03444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Fase General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112883"/>
        <c:axId val="1037281582"/>
      </c:barChart>
      <c:catAx>
        <c:axId val="187112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37281582"/>
        <c:crosses val="autoZero"/>
        <c:auto val="1"/>
        <c:lblAlgn val="ctr"/>
        <c:lblOffset val="100"/>
        <c:noMultiLvlLbl val="1"/>
      </c:catAx>
      <c:valAx>
        <c:axId val="1037281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7112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% Titulados Ordinaria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Titulan!$D$2:$D$10</c:f>
              <c:strCache>
                <c:ptCount val="9"/>
                <c:pt idx="0">
                  <c:v>24-25(52)</c:v>
                </c:pt>
                <c:pt idx="1">
                  <c:v>23-24(60)</c:v>
                </c:pt>
                <c:pt idx="2">
                  <c:v>22-23(54)</c:v>
                </c:pt>
                <c:pt idx="3">
                  <c:v>21-22(59)</c:v>
                </c:pt>
                <c:pt idx="4">
                  <c:v>20-21(54)</c:v>
                </c:pt>
                <c:pt idx="5">
                  <c:v>19-20(50)</c:v>
                </c:pt>
                <c:pt idx="6">
                  <c:v>18-19(54)</c:v>
                </c:pt>
                <c:pt idx="7">
                  <c:v>17-18(44)</c:v>
                </c:pt>
                <c:pt idx="8">
                  <c:v>16-17(45)</c:v>
                </c:pt>
              </c:strCache>
            </c:strRef>
          </c:cat>
          <c:val>
            <c:numRef>
              <c:f>Titulan!$E$2:$E$10</c:f>
              <c:numCache>
                <c:formatCode>0.00%</c:formatCode>
                <c:ptCount val="9"/>
                <c:pt idx="0">
                  <c:v>0.71150000000000002</c:v>
                </c:pt>
                <c:pt idx="1">
                  <c:v>0.76670000000000005</c:v>
                </c:pt>
                <c:pt idx="2">
                  <c:v>0.79630000000000001</c:v>
                </c:pt>
                <c:pt idx="3">
                  <c:v>0.81359999999999999</c:v>
                </c:pt>
                <c:pt idx="4">
                  <c:v>0.90700000000000003</c:v>
                </c:pt>
                <c:pt idx="5">
                  <c:v>1</c:v>
                </c:pt>
                <c:pt idx="6">
                  <c:v>0.66669999999999996</c:v>
                </c:pt>
                <c:pt idx="7">
                  <c:v>0.70450000000000002</c:v>
                </c:pt>
                <c:pt idx="8">
                  <c:v>0.77780000000000005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A-45DB-A44D-5D1F334C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296435"/>
        <c:axId val="898386577"/>
      </c:areaChart>
      <c:catAx>
        <c:axId val="2063296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98386577"/>
        <c:crosses val="autoZero"/>
        <c:auto val="1"/>
        <c:lblAlgn val="ctr"/>
        <c:lblOffset val="100"/>
        <c:noMultiLvlLbl val="1"/>
      </c:catAx>
      <c:valAx>
        <c:axId val="898386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6329643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Fase General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'Fase General'!$F$1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General'!$F$3:$F$14</c:f>
              <c:numCache>
                <c:formatCode>0.00</c:formatCode>
                <c:ptCount val="12"/>
                <c:pt idx="0">
                  <c:v>6.01</c:v>
                </c:pt>
                <c:pt idx="1">
                  <c:v>5.9</c:v>
                </c:pt>
                <c:pt idx="2">
                  <c:v>6.41</c:v>
                </c:pt>
                <c:pt idx="3">
                  <c:v>6.1552083333333298</c:v>
                </c:pt>
                <c:pt idx="4">
                  <c:v>5.9013705583756302</c:v>
                </c:pt>
                <c:pt idx="5">
                  <c:v>6.4415223880596999</c:v>
                </c:pt>
                <c:pt idx="6">
                  <c:v>6.0688827586206902</c:v>
                </c:pt>
                <c:pt idx="7">
                  <c:v>5.8432698412698398</c:v>
                </c:pt>
                <c:pt idx="8">
                  <c:v>6.0051914893617004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3-4FF1-A8BA-2D0DE54CD188}"/>
            </c:ext>
          </c:extLst>
        </c:ser>
        <c:ser>
          <c:idx val="1"/>
          <c:order val="1"/>
          <c:tx>
            <c:strRef>
              <c:f>'Fase General'!$G$1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General'!$G$3:$G$11</c:f>
              <c:numCache>
                <c:formatCode>0.00</c:formatCode>
                <c:ptCount val="9"/>
                <c:pt idx="0">
                  <c:v>7.065675675675676</c:v>
                </c:pt>
                <c:pt idx="1">
                  <c:v>6.8379096045197754</c:v>
                </c:pt>
                <c:pt idx="2">
                  <c:v>7.0848837209302298</c:v>
                </c:pt>
                <c:pt idx="3">
                  <c:v>7.0147916666666603</c:v>
                </c:pt>
                <c:pt idx="4">
                  <c:v>6.68091370558375</c:v>
                </c:pt>
                <c:pt idx="5">
                  <c:v>8.0024875621890494</c:v>
                </c:pt>
                <c:pt idx="6">
                  <c:v>6.7080000000000002</c:v>
                </c:pt>
                <c:pt idx="7">
                  <c:v>6.6826984126984099</c:v>
                </c:pt>
                <c:pt idx="8">
                  <c:v>6.7790780141843898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3-4FF1-A8BA-2D0DE54CD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07394"/>
        <c:axId val="673833872"/>
      </c:areaChart>
      <c:catAx>
        <c:axId val="987907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73833872"/>
        <c:crosses val="autoZero"/>
        <c:auto val="1"/>
        <c:lblAlgn val="ctr"/>
        <c:lblOffset val="100"/>
        <c:noMultiLvlLbl val="1"/>
      </c:catAx>
      <c:valAx>
        <c:axId val="67383387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8790739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Fase General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'Fase General'!$F$1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General'!$F$3:$F$14</c:f>
              <c:numCache>
                <c:formatCode>0.00</c:formatCode>
                <c:ptCount val="12"/>
                <c:pt idx="0">
                  <c:v>6.01</c:v>
                </c:pt>
                <c:pt idx="1">
                  <c:v>5.9</c:v>
                </c:pt>
                <c:pt idx="2">
                  <c:v>6.41</c:v>
                </c:pt>
                <c:pt idx="3">
                  <c:v>6.1552083333333298</c:v>
                </c:pt>
                <c:pt idx="4">
                  <c:v>5.9013705583756302</c:v>
                </c:pt>
                <c:pt idx="5">
                  <c:v>6.4415223880596999</c:v>
                </c:pt>
                <c:pt idx="6">
                  <c:v>6.0688827586206902</c:v>
                </c:pt>
                <c:pt idx="7">
                  <c:v>5.8432698412698398</c:v>
                </c:pt>
                <c:pt idx="8">
                  <c:v>6.0051914893617004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0-432C-A059-ED6EEA3FE5DA}"/>
            </c:ext>
          </c:extLst>
        </c:ser>
        <c:ser>
          <c:idx val="1"/>
          <c:order val="1"/>
          <c:tx>
            <c:strRef>
              <c:f>'Fase General'!$I$1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General'!$I$3:$I$11</c:f>
              <c:numCache>
                <c:formatCode>0.00</c:formatCode>
                <c:ptCount val="9"/>
                <c:pt idx="0">
                  <c:v>6.4370000000000003</c:v>
                </c:pt>
                <c:pt idx="1">
                  <c:v>6.65</c:v>
                </c:pt>
                <c:pt idx="2">
                  <c:v>6.7430000000000003</c:v>
                </c:pt>
                <c:pt idx="3">
                  <c:v>6.49</c:v>
                </c:pt>
                <c:pt idx="4">
                  <c:v>6.39</c:v>
                </c:pt>
                <c:pt idx="5" formatCode="General">
                  <c:v>6.22</c:v>
                </c:pt>
                <c:pt idx="6" formatCode="General">
                  <c:v>6.03</c:v>
                </c:pt>
                <c:pt idx="7" formatCode="General">
                  <c:v>6.11</c:v>
                </c:pt>
                <c:pt idx="8" formatCode="General">
                  <c:v>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0-432C-A059-ED6EEA3FE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849282"/>
        <c:axId val="1356325590"/>
      </c:areaChart>
      <c:catAx>
        <c:axId val="1118849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56325590"/>
        <c:crosses val="autoZero"/>
        <c:auto val="1"/>
        <c:lblAlgn val="ctr"/>
        <c:lblOffset val="100"/>
        <c:noMultiLvlLbl val="1"/>
      </c:catAx>
      <c:valAx>
        <c:axId val="135632559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1884928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Aprobados Fase General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'Fase General'!$E$1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General'!$E$3:$E$11</c:f>
              <c:numCache>
                <c:formatCode>0.00%</c:formatCode>
                <c:ptCount val="9"/>
                <c:pt idx="0">
                  <c:v>0.97299999999999998</c:v>
                </c:pt>
                <c:pt idx="1">
                  <c:v>0.93179999999999996</c:v>
                </c:pt>
                <c:pt idx="2">
                  <c:v>0.9556</c:v>
                </c:pt>
                <c:pt idx="3">
                  <c:v>0.88</c:v>
                </c:pt>
                <c:pt idx="4">
                  <c:v>0.95920000000000005</c:v>
                </c:pt>
                <c:pt idx="5">
                  <c:v>0.88</c:v>
                </c:pt>
                <c:pt idx="6">
                  <c:v>0.94440000000000002</c:v>
                </c:pt>
                <c:pt idx="7">
                  <c:v>0.9355</c:v>
                </c:pt>
                <c:pt idx="8">
                  <c:v>0.94289999999999996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6-40CF-9A3A-3BDD35BF097E}"/>
            </c:ext>
          </c:extLst>
        </c:ser>
        <c:ser>
          <c:idx val="1"/>
          <c:order val="1"/>
          <c:tx>
            <c:strRef>
              <c:f>'Fase General'!$H$1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'Fase General'!$D$3:$D$14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'Fase General'!$H$3:$H$11</c:f>
              <c:numCache>
                <c:formatCode>0.00</c:formatCode>
                <c:ptCount val="9"/>
                <c:pt idx="1">
                  <c:v>0.95720000000000005</c:v>
                </c:pt>
                <c:pt idx="2" formatCode="0.00%">
                  <c:v>0.9526</c:v>
                </c:pt>
                <c:pt idx="3" formatCode="0.00%">
                  <c:v>0.93279999999999996</c:v>
                </c:pt>
                <c:pt idx="4" formatCode="0.00%">
                  <c:v>0.93679999999999997</c:v>
                </c:pt>
                <c:pt idx="5" formatCode="0.00%">
                  <c:v>0.90239999999999998</c:v>
                </c:pt>
                <c:pt idx="6" formatCode="0.00%">
                  <c:v>0.90859999999999996</c:v>
                </c:pt>
                <c:pt idx="7" formatCode="0.00%">
                  <c:v>0.92259999999999998</c:v>
                </c:pt>
                <c:pt idx="8" formatCode="0.00%">
                  <c:v>0.88959999999999995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6-40CF-9A3A-3BDD35BF0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779256"/>
        <c:axId val="1267862274"/>
      </c:areaChart>
      <c:catAx>
        <c:axId val="163877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67862274"/>
        <c:crosses val="autoZero"/>
        <c:auto val="1"/>
        <c:lblAlgn val="ctr"/>
        <c:lblOffset val="100"/>
        <c:noMultiLvlLbl val="1"/>
      </c:catAx>
      <c:valAx>
        <c:axId val="126786227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3877925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% Aprobados Lengua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Lengua!$E$1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Lengua!$E$2:$E$10</c:f>
              <c:numCache>
                <c:formatCode>0.00%</c:formatCode>
                <c:ptCount val="9"/>
                <c:pt idx="0">
                  <c:v>0.70269999999999999</c:v>
                </c:pt>
                <c:pt idx="1">
                  <c:v>0.73329999999999995</c:v>
                </c:pt>
                <c:pt idx="2">
                  <c:v>0.71109999999999995</c:v>
                </c:pt>
                <c:pt idx="3">
                  <c:v>0.67349999999999999</c:v>
                </c:pt>
                <c:pt idx="4">
                  <c:v>0.70830000000000004</c:v>
                </c:pt>
                <c:pt idx="5">
                  <c:v>0.62</c:v>
                </c:pt>
                <c:pt idx="6">
                  <c:v>0.69440000000000002</c:v>
                </c:pt>
                <c:pt idx="7">
                  <c:v>0.5806</c:v>
                </c:pt>
                <c:pt idx="8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1-462C-BA1B-3959FD6517D8}"/>
            </c:ext>
          </c:extLst>
        </c:ser>
        <c:ser>
          <c:idx val="1"/>
          <c:order val="1"/>
          <c:tx>
            <c:strRef>
              <c:f>Lengua!$H$1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Lengua!$H$2:$H$10</c:f>
              <c:numCache>
                <c:formatCode>0.00%</c:formatCode>
                <c:ptCount val="9"/>
                <c:pt idx="0">
                  <c:v>0.83260000000000001</c:v>
                </c:pt>
                <c:pt idx="1">
                  <c:v>0.8821</c:v>
                </c:pt>
                <c:pt idx="2">
                  <c:v>0.83779999999999999</c:v>
                </c:pt>
                <c:pt idx="3">
                  <c:v>0.83730000000000004</c:v>
                </c:pt>
                <c:pt idx="4">
                  <c:v>0.83320000000000005</c:v>
                </c:pt>
                <c:pt idx="5">
                  <c:v>0.78600000000000003</c:v>
                </c:pt>
                <c:pt idx="6">
                  <c:v>0.80300000000000005</c:v>
                </c:pt>
                <c:pt idx="7">
                  <c:v>0.74339999999999995</c:v>
                </c:pt>
                <c:pt idx="8">
                  <c:v>0.78559999999999997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1-462C-BA1B-3959FD651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769739"/>
        <c:axId val="954083047"/>
      </c:areaChart>
      <c:catAx>
        <c:axId val="731769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54083047"/>
        <c:crosses val="autoZero"/>
        <c:auto val="1"/>
        <c:lblAlgn val="ctr"/>
        <c:lblOffset val="100"/>
        <c:noMultiLvlLbl val="1"/>
      </c:catAx>
      <c:valAx>
        <c:axId val="95408304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317697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Lengua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Lengua!$F$1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Lengua!$F$2:$F$10</c:f>
              <c:numCache>
                <c:formatCode>General</c:formatCode>
                <c:ptCount val="9"/>
                <c:pt idx="0">
                  <c:v>5.37</c:v>
                </c:pt>
                <c:pt idx="1">
                  <c:v>5.66</c:v>
                </c:pt>
                <c:pt idx="2">
                  <c:v>5.68</c:v>
                </c:pt>
                <c:pt idx="3">
                  <c:v>6.19</c:v>
                </c:pt>
                <c:pt idx="4">
                  <c:v>5.82</c:v>
                </c:pt>
                <c:pt idx="5">
                  <c:v>6.1550000000000002</c:v>
                </c:pt>
                <c:pt idx="6">
                  <c:v>5.6459999999999999</c:v>
                </c:pt>
                <c:pt idx="7">
                  <c:v>4.944</c:v>
                </c:pt>
                <c:pt idx="8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3-4F16-ACF2-2C1440BF2B49}"/>
            </c:ext>
          </c:extLst>
        </c:ser>
        <c:ser>
          <c:idx val="1"/>
          <c:order val="1"/>
          <c:tx>
            <c:strRef>
              <c:f>Lengua!$I$1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Lengua!$I$2:$I$10</c:f>
              <c:numCache>
                <c:formatCode>General</c:formatCode>
                <c:ptCount val="9"/>
                <c:pt idx="0">
                  <c:v>6.5</c:v>
                </c:pt>
                <c:pt idx="1">
                  <c:v>6.86</c:v>
                </c:pt>
                <c:pt idx="2">
                  <c:v>6.61</c:v>
                </c:pt>
                <c:pt idx="3">
                  <c:v>6.66</c:v>
                </c:pt>
                <c:pt idx="4">
                  <c:v>6.54</c:v>
                </c:pt>
                <c:pt idx="5">
                  <c:v>6.3659999999999997</c:v>
                </c:pt>
                <c:pt idx="6">
                  <c:v>6.4340000000000002</c:v>
                </c:pt>
                <c:pt idx="7">
                  <c:v>5.9550000000000001</c:v>
                </c:pt>
                <c:pt idx="8">
                  <c:v>6.165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3-4F16-ACF2-2C1440BF2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99942"/>
        <c:axId val="1441876931"/>
      </c:areaChart>
      <c:catAx>
        <c:axId val="1865599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41876931"/>
        <c:crosses val="autoZero"/>
        <c:auto val="1"/>
        <c:lblAlgn val="ctr"/>
        <c:lblOffset val="100"/>
        <c:noMultiLvlLbl val="1"/>
      </c:catAx>
      <c:valAx>
        <c:axId val="144187693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6559994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Nota Media Lengua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NM LSG EvAU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Lengua!$F$2:$F$10</c:f>
              <c:numCache>
                <c:formatCode>General</c:formatCode>
                <c:ptCount val="9"/>
                <c:pt idx="0">
                  <c:v>5.37</c:v>
                </c:pt>
                <c:pt idx="1">
                  <c:v>5.66</c:v>
                </c:pt>
                <c:pt idx="2">
                  <c:v>5.68</c:v>
                </c:pt>
                <c:pt idx="3">
                  <c:v>6.19</c:v>
                </c:pt>
                <c:pt idx="4">
                  <c:v>5.82</c:v>
                </c:pt>
                <c:pt idx="5">
                  <c:v>6.1550000000000002</c:v>
                </c:pt>
                <c:pt idx="6">
                  <c:v>5.6459999999999999</c:v>
                </c:pt>
                <c:pt idx="7">
                  <c:v>4.944</c:v>
                </c:pt>
                <c:pt idx="8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3-48B7-91B7-79905D588077}"/>
            </c:ext>
          </c:extLst>
        </c:ser>
        <c:ser>
          <c:idx val="1"/>
          <c:order val="1"/>
          <c:tx>
            <c:v>NM LSG Cole</c:v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Lengua!$D$2:$D$10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Lengua!$G$2:$G$10</c:f>
              <c:numCache>
                <c:formatCode>General</c:formatCode>
                <c:ptCount val="9"/>
                <c:pt idx="0">
                  <c:v>7.16</c:v>
                </c:pt>
                <c:pt idx="1">
                  <c:v>6.73</c:v>
                </c:pt>
                <c:pt idx="2">
                  <c:v>7.2</c:v>
                </c:pt>
                <c:pt idx="3">
                  <c:v>6.77</c:v>
                </c:pt>
                <c:pt idx="4">
                  <c:v>6.43</c:v>
                </c:pt>
                <c:pt idx="5">
                  <c:v>7.96</c:v>
                </c:pt>
                <c:pt idx="6">
                  <c:v>6.53</c:v>
                </c:pt>
                <c:pt idx="7">
                  <c:v>6.46</c:v>
                </c:pt>
                <c:pt idx="8">
                  <c:v>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3-48B7-91B7-79905D588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547687"/>
        <c:axId val="1344949595"/>
      </c:areaChart>
      <c:catAx>
        <c:axId val="142854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44949595"/>
        <c:crosses val="autoZero"/>
        <c:auto val="1"/>
        <c:lblAlgn val="ctr"/>
        <c:lblOffset val="100"/>
        <c:noMultiLvlLbl val="1"/>
      </c:catAx>
      <c:valAx>
        <c:axId val="134494959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285476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Inglés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Inglés!$E$1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Inglés!$E$2:$E$10</c:f>
              <c:numCache>
                <c:formatCode>0.00%</c:formatCode>
                <c:ptCount val="9"/>
                <c:pt idx="0">
                  <c:v>0.83779999999999999</c:v>
                </c:pt>
                <c:pt idx="1">
                  <c:v>0.64439999999999997</c:v>
                </c:pt>
                <c:pt idx="2">
                  <c:v>0.75560000000000005</c:v>
                </c:pt>
                <c:pt idx="3">
                  <c:v>0.59179999999999999</c:v>
                </c:pt>
                <c:pt idx="4">
                  <c:v>0.59179999999999999</c:v>
                </c:pt>
                <c:pt idx="5">
                  <c:v>0.8</c:v>
                </c:pt>
                <c:pt idx="6">
                  <c:v>0.80559999999999998</c:v>
                </c:pt>
                <c:pt idx="7">
                  <c:v>0.7419</c:v>
                </c:pt>
                <c:pt idx="8">
                  <c:v>0.8286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6-4B20-B309-0218DA1C8547}"/>
            </c:ext>
          </c:extLst>
        </c:ser>
        <c:ser>
          <c:idx val="1"/>
          <c:order val="1"/>
          <c:tx>
            <c:strRef>
              <c:f>Inglés!$H$1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Inglés!$H$2:$H$10</c:f>
              <c:numCache>
                <c:formatCode>0.00%</c:formatCode>
                <c:ptCount val="9"/>
                <c:pt idx="0">
                  <c:v>0.84470000000000001</c:v>
                </c:pt>
                <c:pt idx="1">
                  <c:v>0.82310000000000005</c:v>
                </c:pt>
                <c:pt idx="2">
                  <c:v>0.87129999999999996</c:v>
                </c:pt>
                <c:pt idx="3">
                  <c:v>0.75329999999999997</c:v>
                </c:pt>
                <c:pt idx="4">
                  <c:v>0.77980000000000005</c:v>
                </c:pt>
                <c:pt idx="5">
                  <c:v>0.78490000000000004</c:v>
                </c:pt>
                <c:pt idx="6">
                  <c:v>0.80449999999999999</c:v>
                </c:pt>
                <c:pt idx="7">
                  <c:v>0.77900000000000003</c:v>
                </c:pt>
                <c:pt idx="8">
                  <c:v>0.76480000000000004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6-4B20-B309-0218DA1C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48667"/>
        <c:axId val="852812308"/>
      </c:areaChart>
      <c:catAx>
        <c:axId val="565948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52812308"/>
        <c:crosses val="autoZero"/>
        <c:auto val="1"/>
        <c:lblAlgn val="ctr"/>
        <c:lblOffset val="100"/>
        <c:noMultiLvlLbl val="1"/>
      </c:catAx>
      <c:valAx>
        <c:axId val="85281230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6594866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Inglés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Inglés!$F$1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Inglés!$F$2:$F$10</c:f>
              <c:numCache>
                <c:formatCode>General</c:formatCode>
                <c:ptCount val="9"/>
                <c:pt idx="0">
                  <c:v>7.01</c:v>
                </c:pt>
                <c:pt idx="1">
                  <c:v>5.85</c:v>
                </c:pt>
                <c:pt idx="2">
                  <c:v>6.55</c:v>
                </c:pt>
                <c:pt idx="3">
                  <c:v>5.6</c:v>
                </c:pt>
                <c:pt idx="4">
                  <c:v>5.28</c:v>
                </c:pt>
                <c:pt idx="5">
                  <c:v>6.86</c:v>
                </c:pt>
                <c:pt idx="6">
                  <c:v>6.4720000000000004</c:v>
                </c:pt>
                <c:pt idx="7">
                  <c:v>6.6609999999999996</c:v>
                </c:pt>
                <c:pt idx="8">
                  <c:v>6.0430000000000001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9-4399-8096-C9A1FB1E1829}"/>
            </c:ext>
          </c:extLst>
        </c:ser>
        <c:ser>
          <c:idx val="1"/>
          <c:order val="1"/>
          <c:tx>
            <c:strRef>
              <c:f>Inglés!$I$1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Inglés!$I$2:$I$10</c:f>
              <c:numCache>
                <c:formatCode>General</c:formatCode>
                <c:ptCount val="9"/>
                <c:pt idx="0">
                  <c:v>7.15</c:v>
                </c:pt>
                <c:pt idx="1">
                  <c:v>6.84</c:v>
                </c:pt>
                <c:pt idx="2">
                  <c:v>7.28</c:v>
                </c:pt>
                <c:pt idx="3">
                  <c:v>6.35</c:v>
                </c:pt>
                <c:pt idx="4">
                  <c:v>6.48</c:v>
                </c:pt>
                <c:pt idx="5">
                  <c:v>6.7009999999999996</c:v>
                </c:pt>
                <c:pt idx="6">
                  <c:v>6.782</c:v>
                </c:pt>
                <c:pt idx="7">
                  <c:v>6.57</c:v>
                </c:pt>
                <c:pt idx="8">
                  <c:v>6.5209999999999999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9-4399-8096-C9A1FB1E1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35516"/>
        <c:axId val="1636793258"/>
      </c:areaChart>
      <c:catAx>
        <c:axId val="994835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36793258"/>
        <c:crosses val="autoZero"/>
        <c:auto val="1"/>
        <c:lblAlgn val="ctr"/>
        <c:lblOffset val="100"/>
        <c:noMultiLvlLbl val="1"/>
      </c:catAx>
      <c:valAx>
        <c:axId val="163679325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9483551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Inglés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Inglés!$F$1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Inglés!$F$2:$F$10</c:f>
              <c:numCache>
                <c:formatCode>General</c:formatCode>
                <c:ptCount val="9"/>
                <c:pt idx="0">
                  <c:v>7.01</c:v>
                </c:pt>
                <c:pt idx="1">
                  <c:v>5.85</c:v>
                </c:pt>
                <c:pt idx="2">
                  <c:v>6.55</c:v>
                </c:pt>
                <c:pt idx="3">
                  <c:v>5.6</c:v>
                </c:pt>
                <c:pt idx="4">
                  <c:v>5.28</c:v>
                </c:pt>
                <c:pt idx="5">
                  <c:v>6.86</c:v>
                </c:pt>
                <c:pt idx="6">
                  <c:v>6.4720000000000004</c:v>
                </c:pt>
                <c:pt idx="7">
                  <c:v>6.6609999999999996</c:v>
                </c:pt>
                <c:pt idx="8">
                  <c:v>6.0430000000000001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0-46CF-8D70-E7AAC829AE87}"/>
            </c:ext>
          </c:extLst>
        </c:ser>
        <c:ser>
          <c:idx val="1"/>
          <c:order val="1"/>
          <c:tx>
            <c:strRef>
              <c:f>Inglés!$G$1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Inglés!$D$2:$D$10</c:f>
              <c:strCache>
                <c:ptCount val="9"/>
                <c:pt idx="0">
                  <c:v>24-25(37)</c:v>
                </c:pt>
                <c:pt idx="1">
                  <c:v>23-24(44)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Inglés!$G$2:$G$10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6.84</c:v>
                </c:pt>
                <c:pt idx="3">
                  <c:v>7</c:v>
                </c:pt>
                <c:pt idx="4">
                  <c:v>6.51</c:v>
                </c:pt>
                <c:pt idx="5">
                  <c:v>8.08</c:v>
                </c:pt>
                <c:pt idx="6">
                  <c:v>6.6</c:v>
                </c:pt>
                <c:pt idx="7">
                  <c:v>6.62</c:v>
                </c:pt>
                <c:pt idx="8">
                  <c:v>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0-46CF-8D70-E7AAC829A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40244"/>
        <c:axId val="1684905772"/>
      </c:areaChart>
      <c:catAx>
        <c:axId val="183640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84905772"/>
        <c:crosses val="autoZero"/>
        <c:auto val="1"/>
        <c:lblAlgn val="ctr"/>
        <c:lblOffset val="100"/>
        <c:noMultiLvlLbl val="1"/>
      </c:catAx>
      <c:valAx>
        <c:axId val="168490577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364024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Historia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Historia!$E$1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Historia!$E$2:$E$10</c:f>
              <c:numCache>
                <c:formatCode>0.00%</c:formatCode>
                <c:ptCount val="9"/>
                <c:pt idx="0">
                  <c:v>0.66669999999999996</c:v>
                </c:pt>
                <c:pt idx="1">
                  <c:v>0.57889999999999997</c:v>
                </c:pt>
                <c:pt idx="2">
                  <c:v>0.71109999999999995</c:v>
                </c:pt>
                <c:pt idx="3">
                  <c:v>0.65310000000000001</c:v>
                </c:pt>
                <c:pt idx="4">
                  <c:v>0.67349999999999999</c:v>
                </c:pt>
                <c:pt idx="5">
                  <c:v>0.6</c:v>
                </c:pt>
                <c:pt idx="6">
                  <c:v>0.58330000000000004</c:v>
                </c:pt>
                <c:pt idx="7">
                  <c:v>0.7097</c:v>
                </c:pt>
                <c:pt idx="8">
                  <c:v>0.65710000000000002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8-489F-8141-026E35F8E044}"/>
            </c:ext>
          </c:extLst>
        </c:ser>
        <c:ser>
          <c:idx val="1"/>
          <c:order val="1"/>
          <c:tx>
            <c:strRef>
              <c:f>Historia!$H$1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Historia!$H$2:$H$10</c:f>
              <c:numCache>
                <c:formatCode>0.00%</c:formatCode>
                <c:ptCount val="9"/>
                <c:pt idx="0">
                  <c:v>0.82440000000000002</c:v>
                </c:pt>
                <c:pt idx="1">
                  <c:v>0.78639999999999999</c:v>
                </c:pt>
                <c:pt idx="2">
                  <c:v>0.79890000000000005</c:v>
                </c:pt>
                <c:pt idx="3">
                  <c:v>0.74660000000000004</c:v>
                </c:pt>
                <c:pt idx="4">
                  <c:v>0.76919999999999999</c:v>
                </c:pt>
                <c:pt idx="5">
                  <c:v>0.69810000000000005</c:v>
                </c:pt>
                <c:pt idx="6">
                  <c:v>0.64149999999999996</c:v>
                </c:pt>
                <c:pt idx="7">
                  <c:v>0.6754</c:v>
                </c:pt>
                <c:pt idx="8">
                  <c:v>0.63880000000000003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8-489F-8141-026E35F8E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782766"/>
        <c:axId val="1913433211"/>
      </c:areaChart>
      <c:catAx>
        <c:axId val="909782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13433211"/>
        <c:crosses val="autoZero"/>
        <c:auto val="1"/>
        <c:lblAlgn val="ctr"/>
        <c:lblOffset val="100"/>
        <c:noMultiLvlLbl val="1"/>
      </c:catAx>
      <c:valAx>
        <c:axId val="191343321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0978276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Historia!$F$1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Historia!$F$2:$F$10</c:f>
              <c:numCache>
                <c:formatCode>General</c:formatCode>
                <c:ptCount val="9"/>
                <c:pt idx="0">
                  <c:v>5.89</c:v>
                </c:pt>
                <c:pt idx="1">
                  <c:v>5.55</c:v>
                </c:pt>
                <c:pt idx="2">
                  <c:v>6.31</c:v>
                </c:pt>
                <c:pt idx="3">
                  <c:v>5.89</c:v>
                </c:pt>
                <c:pt idx="4">
                  <c:v>5.97</c:v>
                </c:pt>
                <c:pt idx="5">
                  <c:v>5.64</c:v>
                </c:pt>
                <c:pt idx="6">
                  <c:v>5.819</c:v>
                </c:pt>
                <c:pt idx="7">
                  <c:v>5.6609999999999996</c:v>
                </c:pt>
                <c:pt idx="8">
                  <c:v>5.4210000000000003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C-444A-B689-50CE002B779B}"/>
            </c:ext>
          </c:extLst>
        </c:ser>
        <c:ser>
          <c:idx val="1"/>
          <c:order val="1"/>
          <c:tx>
            <c:strRef>
              <c:f>Historia!$I$1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Historia!$I$2:$I$10</c:f>
              <c:numCache>
                <c:formatCode>General</c:formatCode>
                <c:ptCount val="9"/>
                <c:pt idx="0">
                  <c:v>6.91</c:v>
                </c:pt>
                <c:pt idx="1">
                  <c:v>6.68</c:v>
                </c:pt>
                <c:pt idx="2">
                  <c:v>6.73</c:v>
                </c:pt>
                <c:pt idx="3">
                  <c:v>6.49</c:v>
                </c:pt>
                <c:pt idx="4">
                  <c:v>6.61</c:v>
                </c:pt>
                <c:pt idx="5">
                  <c:v>6.0890000000000004</c:v>
                </c:pt>
                <c:pt idx="6">
                  <c:v>5.7519999999999998</c:v>
                </c:pt>
                <c:pt idx="7">
                  <c:v>5.88</c:v>
                </c:pt>
                <c:pt idx="8">
                  <c:v>5.6420000000000003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C-444A-B689-50CE002B7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4845"/>
        <c:axId val="1914056715"/>
      </c:areaChart>
      <c:catAx>
        <c:axId val="28814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14056715"/>
        <c:crosses val="autoZero"/>
        <c:auto val="1"/>
        <c:lblAlgn val="ctr"/>
        <c:lblOffset val="100"/>
        <c:noMultiLvlLbl val="1"/>
      </c:catAx>
      <c:valAx>
        <c:axId val="191405671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88148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Historia!$F$1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Historia!$F$2:$F$10</c:f>
              <c:numCache>
                <c:formatCode>General</c:formatCode>
                <c:ptCount val="9"/>
                <c:pt idx="0">
                  <c:v>5.89</c:v>
                </c:pt>
                <c:pt idx="1">
                  <c:v>5.55</c:v>
                </c:pt>
                <c:pt idx="2">
                  <c:v>6.31</c:v>
                </c:pt>
                <c:pt idx="3">
                  <c:v>5.89</c:v>
                </c:pt>
                <c:pt idx="4">
                  <c:v>5.97</c:v>
                </c:pt>
                <c:pt idx="5">
                  <c:v>5.64</c:v>
                </c:pt>
                <c:pt idx="6">
                  <c:v>5.819</c:v>
                </c:pt>
                <c:pt idx="7">
                  <c:v>5.6609999999999996</c:v>
                </c:pt>
                <c:pt idx="8">
                  <c:v>5.4210000000000003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7-4C10-BB3A-B392E0DD1065}"/>
            </c:ext>
          </c:extLst>
        </c:ser>
        <c:ser>
          <c:idx val="1"/>
          <c:order val="1"/>
          <c:tx>
            <c:strRef>
              <c:f>Historia!$G$1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Historia!$D$2:$D$10</c:f>
              <c:strCache>
                <c:ptCount val="9"/>
                <c:pt idx="0">
                  <c:v>24-25(9)</c:v>
                </c:pt>
                <c:pt idx="1">
                  <c:v>23-24(18)</c:v>
                </c:pt>
                <c:pt idx="2">
                  <c:v>22-23(43)</c:v>
                </c:pt>
                <c:pt idx="3">
                  <c:v>21-22(48)</c:v>
                </c:pt>
                <c:pt idx="4">
                  <c:v>20-21(49)</c:v>
                </c:pt>
                <c:pt idx="5">
                  <c:v>19-20(50)</c:v>
                </c:pt>
                <c:pt idx="6">
                  <c:v>18-19(36)</c:v>
                </c:pt>
                <c:pt idx="7">
                  <c:v>17-18(31)</c:v>
                </c:pt>
                <c:pt idx="8">
                  <c:v>16-17(35)</c:v>
                </c:pt>
              </c:strCache>
            </c:strRef>
          </c:cat>
          <c:val>
            <c:numRef>
              <c:f>Historia!$G$2:$G$10</c:f>
              <c:numCache>
                <c:formatCode>General</c:formatCode>
                <c:ptCount val="9"/>
                <c:pt idx="0">
                  <c:v>6.59</c:v>
                </c:pt>
                <c:pt idx="1">
                  <c:v>6.92</c:v>
                </c:pt>
                <c:pt idx="2">
                  <c:v>7.3</c:v>
                </c:pt>
                <c:pt idx="3">
                  <c:v>7.3</c:v>
                </c:pt>
                <c:pt idx="4">
                  <c:v>6.94</c:v>
                </c:pt>
                <c:pt idx="5">
                  <c:v>8.33</c:v>
                </c:pt>
                <c:pt idx="6">
                  <c:v>7.07</c:v>
                </c:pt>
                <c:pt idx="7">
                  <c:v>7.15</c:v>
                </c:pt>
                <c:pt idx="8">
                  <c:v>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7-4C10-BB3A-B392E0DD1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567409"/>
        <c:axId val="885829751"/>
      </c:areaChart>
      <c:catAx>
        <c:axId val="392567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85829751"/>
        <c:crosses val="autoZero"/>
        <c:auto val="1"/>
        <c:lblAlgn val="ctr"/>
        <c:lblOffset val="100"/>
        <c:noMultiLvlLbl val="1"/>
      </c:catAx>
      <c:valAx>
        <c:axId val="88582975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9256740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Matemáticas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II'!$E$1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II'!$E$2:$E$10</c:f>
              <c:numCache>
                <c:formatCode>0.00%</c:formatCode>
                <c:ptCount val="9"/>
                <c:pt idx="0">
                  <c:v>0.63329999999999997</c:v>
                </c:pt>
                <c:pt idx="1">
                  <c:v>0.69440000000000002</c:v>
                </c:pt>
                <c:pt idx="2">
                  <c:v>0.85189999999999999</c:v>
                </c:pt>
                <c:pt idx="3">
                  <c:v>0.89659999999999995</c:v>
                </c:pt>
                <c:pt idx="4">
                  <c:v>0.80649999999999999</c:v>
                </c:pt>
                <c:pt idx="5">
                  <c:v>0.8387</c:v>
                </c:pt>
                <c:pt idx="6">
                  <c:v>0.88239999999999996</c:v>
                </c:pt>
                <c:pt idx="7">
                  <c:v>0.38890000000000002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5-40A9-B2C6-BC1AD45795F4}"/>
            </c:ext>
          </c:extLst>
        </c:ser>
        <c:ser>
          <c:idx val="1"/>
          <c:order val="1"/>
          <c:tx>
            <c:strRef>
              <c:f>'Mate II'!$H$1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II'!$H$2:$H$10</c:f>
              <c:numCache>
                <c:formatCode>0.00%</c:formatCode>
                <c:ptCount val="9"/>
                <c:pt idx="0">
                  <c:v>0.59409999999999996</c:v>
                </c:pt>
                <c:pt idx="1">
                  <c:v>0.68220000000000003</c:v>
                </c:pt>
                <c:pt idx="2">
                  <c:v>0.75990000000000002</c:v>
                </c:pt>
                <c:pt idx="3">
                  <c:v>0.81340000000000001</c:v>
                </c:pt>
                <c:pt idx="4">
                  <c:v>0.71540000000000004</c:v>
                </c:pt>
                <c:pt idx="5">
                  <c:v>0.76070000000000004</c:v>
                </c:pt>
                <c:pt idx="6">
                  <c:v>0.73660000000000003</c:v>
                </c:pt>
                <c:pt idx="7">
                  <c:v>0.66449999999999998</c:v>
                </c:pt>
                <c:pt idx="8">
                  <c:v>0.76019999999999999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5-40A9-B2C6-BC1AD4579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46516"/>
        <c:axId val="1455604214"/>
      </c:areaChart>
      <c:catAx>
        <c:axId val="591546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55604214"/>
        <c:crosses val="autoZero"/>
        <c:auto val="1"/>
        <c:lblAlgn val="ctr"/>
        <c:lblOffset val="100"/>
        <c:noMultiLvlLbl val="1"/>
      </c:catAx>
      <c:valAx>
        <c:axId val="145560421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9154651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Matemáticas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II'!$F$1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II'!$F$2:$F$10</c:f>
              <c:numCache>
                <c:formatCode>General</c:formatCode>
                <c:ptCount val="9"/>
                <c:pt idx="0">
                  <c:v>5.19</c:v>
                </c:pt>
                <c:pt idx="1">
                  <c:v>5.87</c:v>
                </c:pt>
                <c:pt idx="2">
                  <c:v>6.78</c:v>
                </c:pt>
                <c:pt idx="3">
                  <c:v>7.47</c:v>
                </c:pt>
                <c:pt idx="4">
                  <c:v>6.31</c:v>
                </c:pt>
                <c:pt idx="5">
                  <c:v>7.556</c:v>
                </c:pt>
                <c:pt idx="6" formatCode="#,##0.000">
                  <c:v>6.8680000000000003</c:v>
                </c:pt>
                <c:pt idx="7" formatCode="#,##0.000">
                  <c:v>5.0419999999999998</c:v>
                </c:pt>
                <c:pt idx="8" formatCode="#,##0.000">
                  <c:v>6.9119999999999999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9A7-BDCB-B9D1C9168E45}"/>
            </c:ext>
          </c:extLst>
        </c:ser>
        <c:ser>
          <c:idx val="1"/>
          <c:order val="1"/>
          <c:tx>
            <c:strRef>
              <c:f>'Mate II'!$I$1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II'!$I$2:$I$10</c:f>
              <c:numCache>
                <c:formatCode>General</c:formatCode>
                <c:ptCount val="9"/>
                <c:pt idx="0">
                  <c:v>5.47</c:v>
                </c:pt>
                <c:pt idx="1">
                  <c:v>5.8</c:v>
                </c:pt>
                <c:pt idx="2">
                  <c:v>6.48</c:v>
                </c:pt>
                <c:pt idx="3">
                  <c:v>6.74</c:v>
                </c:pt>
                <c:pt idx="4">
                  <c:v>6.15</c:v>
                </c:pt>
                <c:pt idx="5">
                  <c:v>6.6559999999999997</c:v>
                </c:pt>
                <c:pt idx="6">
                  <c:v>6.2439999999999998</c:v>
                </c:pt>
                <c:pt idx="7">
                  <c:v>5.7009999999999996</c:v>
                </c:pt>
                <c:pt idx="8">
                  <c:v>6.4980000000000002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E-49A7-BDCB-B9D1C916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439793"/>
        <c:axId val="128750924"/>
      </c:areaChart>
      <c:catAx>
        <c:axId val="1913439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8750924"/>
        <c:crosses val="autoZero"/>
        <c:auto val="1"/>
        <c:lblAlgn val="ctr"/>
        <c:lblOffset val="100"/>
        <c:noMultiLvlLbl val="1"/>
      </c:catAx>
      <c:valAx>
        <c:axId val="12875092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1343979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Matemáticas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II'!$F$1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II'!$F$2:$F$10</c:f>
              <c:numCache>
                <c:formatCode>General</c:formatCode>
                <c:ptCount val="9"/>
                <c:pt idx="0">
                  <c:v>5.19</c:v>
                </c:pt>
                <c:pt idx="1">
                  <c:v>5.87</c:v>
                </c:pt>
                <c:pt idx="2">
                  <c:v>6.78</c:v>
                </c:pt>
                <c:pt idx="3">
                  <c:v>7.47</c:v>
                </c:pt>
                <c:pt idx="4">
                  <c:v>6.31</c:v>
                </c:pt>
                <c:pt idx="5">
                  <c:v>7.556</c:v>
                </c:pt>
                <c:pt idx="6" formatCode="#,##0.000">
                  <c:v>6.8680000000000003</c:v>
                </c:pt>
                <c:pt idx="7" formatCode="#,##0.000">
                  <c:v>5.0419999999999998</c:v>
                </c:pt>
                <c:pt idx="8" formatCode="#,##0.000">
                  <c:v>6.9119999999999999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5-4883-8817-05C9F02C8A88}"/>
            </c:ext>
          </c:extLst>
        </c:ser>
        <c:ser>
          <c:idx val="1"/>
          <c:order val="1"/>
          <c:tx>
            <c:strRef>
              <c:f>'Mate II'!$G$1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II'!$D$2:$D$10</c:f>
              <c:strCache>
                <c:ptCount val="9"/>
                <c:pt idx="0">
                  <c:v>24-25(30)</c:v>
                </c:pt>
                <c:pt idx="1">
                  <c:v>23-24(35)</c:v>
                </c:pt>
                <c:pt idx="2">
                  <c:v>22-23(25)</c:v>
                </c:pt>
                <c:pt idx="3">
                  <c:v>21-22(28)</c:v>
                </c:pt>
                <c:pt idx="4">
                  <c:v>20-21(31)</c:v>
                </c:pt>
                <c:pt idx="5">
                  <c:v>19-20(31)</c:v>
                </c:pt>
                <c:pt idx="6">
                  <c:v>18-19(17)</c:v>
                </c:pt>
                <c:pt idx="7">
                  <c:v>17-18(18)</c:v>
                </c:pt>
                <c:pt idx="8">
                  <c:v>16-17(20)</c:v>
                </c:pt>
              </c:strCache>
            </c:strRef>
          </c:cat>
          <c:val>
            <c:numRef>
              <c:f>'Mate II'!$G$2:$G$10</c:f>
              <c:numCache>
                <c:formatCode>General</c:formatCode>
                <c:ptCount val="9"/>
                <c:pt idx="0">
                  <c:v>7</c:v>
                </c:pt>
                <c:pt idx="1">
                  <c:v>6.62</c:v>
                </c:pt>
                <c:pt idx="2">
                  <c:v>6.92</c:v>
                </c:pt>
                <c:pt idx="3">
                  <c:v>7.21</c:v>
                </c:pt>
                <c:pt idx="4">
                  <c:v>6.81</c:v>
                </c:pt>
                <c:pt idx="5">
                  <c:v>7.6</c:v>
                </c:pt>
                <c:pt idx="6" formatCode="#,##0.000">
                  <c:v>7.38</c:v>
                </c:pt>
                <c:pt idx="7" formatCode="#,##0.000">
                  <c:v>6.78</c:v>
                </c:pt>
                <c:pt idx="8" formatCode="#,##0.00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5-4883-8817-05C9F02C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925335"/>
        <c:axId val="2140759724"/>
      </c:areaChart>
      <c:catAx>
        <c:axId val="680925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40759724"/>
        <c:crosses val="autoZero"/>
        <c:auto val="1"/>
        <c:lblAlgn val="ctr"/>
        <c:lblOffset val="100"/>
        <c:noMultiLvlLbl val="1"/>
      </c:catAx>
      <c:valAx>
        <c:axId val="214075972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8092533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Matemáticas CCSS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CCSS II'!$E$1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II'!$E$2:$E$10</c:f>
              <c:numCache>
                <c:formatCode>0.00%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0.84209999999999996</c:v>
                </c:pt>
                <c:pt idx="5">
                  <c:v>0.85</c:v>
                </c:pt>
                <c:pt idx="6">
                  <c:v>0.7</c:v>
                </c:pt>
                <c:pt idx="7">
                  <c:v>1</c:v>
                </c:pt>
                <c:pt idx="8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4-4A18-AC69-7D7EB2ED1AAE}"/>
            </c:ext>
          </c:extLst>
        </c:ser>
        <c:ser>
          <c:idx val="1"/>
          <c:order val="1"/>
          <c:tx>
            <c:strRef>
              <c:f>'Mate CCSS II'!$H$1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II'!$H$2:$H$10</c:f>
              <c:numCache>
                <c:formatCode>0.00%</c:formatCode>
                <c:ptCount val="9"/>
                <c:pt idx="0">
                  <c:v>0.59230000000000005</c:v>
                </c:pt>
                <c:pt idx="1">
                  <c:v>0.79390000000000005</c:v>
                </c:pt>
                <c:pt idx="2">
                  <c:v>0.80379999999999996</c:v>
                </c:pt>
                <c:pt idx="3">
                  <c:v>0.70989999999999998</c:v>
                </c:pt>
                <c:pt idx="4">
                  <c:v>0.65680000000000005</c:v>
                </c:pt>
                <c:pt idx="5">
                  <c:v>0.59989999999999999</c:v>
                </c:pt>
                <c:pt idx="6">
                  <c:v>0.55489999999999995</c:v>
                </c:pt>
                <c:pt idx="7">
                  <c:v>0.83230000000000004</c:v>
                </c:pt>
                <c:pt idx="8">
                  <c:v>0.58650000000000002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4-4A18-AC69-7D7EB2ED1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76031"/>
        <c:axId val="303609436"/>
      </c:areaChart>
      <c:catAx>
        <c:axId val="30097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03609436"/>
        <c:crosses val="autoZero"/>
        <c:auto val="1"/>
        <c:lblAlgn val="ctr"/>
        <c:lblOffset val="100"/>
        <c:noMultiLvlLbl val="1"/>
      </c:catAx>
      <c:valAx>
        <c:axId val="30360943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0097603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Matemáticas CCSS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CCSS II'!$F$1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II'!$F$2:$F$10</c:f>
              <c:numCache>
                <c:formatCode>General</c:formatCode>
                <c:ptCount val="9"/>
                <c:pt idx="0">
                  <c:v>6.36</c:v>
                </c:pt>
                <c:pt idx="1">
                  <c:v>7.04</c:v>
                </c:pt>
                <c:pt idx="2">
                  <c:v>7.71</c:v>
                </c:pt>
                <c:pt idx="3">
                  <c:v>6.2</c:v>
                </c:pt>
                <c:pt idx="4">
                  <c:v>6.87</c:v>
                </c:pt>
                <c:pt idx="5">
                  <c:v>6.3879999999999999</c:v>
                </c:pt>
                <c:pt idx="6">
                  <c:v>5.875</c:v>
                </c:pt>
                <c:pt idx="7">
                  <c:v>7.35</c:v>
                </c:pt>
                <c:pt idx="8">
                  <c:v>7.1719999999999997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C-48E2-A9FF-7A0049EE6683}"/>
            </c:ext>
          </c:extLst>
        </c:ser>
        <c:ser>
          <c:idx val="1"/>
          <c:order val="1"/>
          <c:tx>
            <c:strRef>
              <c:f>'Mate CCSS II'!$I$1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II'!$I$2:$I$10</c:f>
              <c:numCache>
                <c:formatCode>General</c:formatCode>
                <c:ptCount val="9"/>
                <c:pt idx="0">
                  <c:v>5.22</c:v>
                </c:pt>
                <c:pt idx="1">
                  <c:v>6.72</c:v>
                </c:pt>
                <c:pt idx="2">
                  <c:v>6.79</c:v>
                </c:pt>
                <c:pt idx="3">
                  <c:v>5.93</c:v>
                </c:pt>
                <c:pt idx="4">
                  <c:v>5.83</c:v>
                </c:pt>
                <c:pt idx="5">
                  <c:v>5.3310000000000004</c:v>
                </c:pt>
                <c:pt idx="6">
                  <c:v>5.2619999999999996</c:v>
                </c:pt>
                <c:pt idx="7">
                  <c:v>7.0460000000000003</c:v>
                </c:pt>
                <c:pt idx="8">
                  <c:v>5.2160000000000002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C-48E2-A9FF-7A0049EE6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853271"/>
        <c:axId val="995230166"/>
      </c:areaChart>
      <c:catAx>
        <c:axId val="1025853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95230166"/>
        <c:crosses val="autoZero"/>
        <c:auto val="1"/>
        <c:lblAlgn val="ctr"/>
        <c:lblOffset val="100"/>
        <c:noMultiLvlLbl val="1"/>
      </c:catAx>
      <c:valAx>
        <c:axId val="99523016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258532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Matemáticas CCSS II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'Mate CCSS II'!$F$1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II'!$F$2:$F$10</c:f>
              <c:numCache>
                <c:formatCode>General</c:formatCode>
                <c:ptCount val="9"/>
                <c:pt idx="0">
                  <c:v>6.36</c:v>
                </c:pt>
                <c:pt idx="1">
                  <c:v>7.04</c:v>
                </c:pt>
                <c:pt idx="2">
                  <c:v>7.71</c:v>
                </c:pt>
                <c:pt idx="3">
                  <c:v>6.2</c:v>
                </c:pt>
                <c:pt idx="4">
                  <c:v>6.87</c:v>
                </c:pt>
                <c:pt idx="5">
                  <c:v>6.3879999999999999</c:v>
                </c:pt>
                <c:pt idx="6">
                  <c:v>5.875</c:v>
                </c:pt>
                <c:pt idx="7">
                  <c:v>7.35</c:v>
                </c:pt>
                <c:pt idx="8">
                  <c:v>7.1719999999999997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C-4F37-97E2-139E83CC9408}"/>
            </c:ext>
          </c:extLst>
        </c:ser>
        <c:ser>
          <c:idx val="1"/>
          <c:order val="1"/>
          <c:tx>
            <c:strRef>
              <c:f>'Mate CCSS II'!$G$1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'Mate CCSS II'!$D$2:$D$10</c:f>
              <c:strCache>
                <c:ptCount val="9"/>
                <c:pt idx="0">
                  <c:v>24-25(7)</c:v>
                </c:pt>
                <c:pt idx="1">
                  <c:v>23-24(9)</c:v>
                </c:pt>
                <c:pt idx="2">
                  <c:v>22-23(18)</c:v>
                </c:pt>
                <c:pt idx="3">
                  <c:v>21-22(20)</c:v>
                </c:pt>
                <c:pt idx="4">
                  <c:v>20-21(19)</c:v>
                </c:pt>
                <c:pt idx="5">
                  <c:v>19-20(20)</c:v>
                </c:pt>
                <c:pt idx="6">
                  <c:v>18-19(20)</c:v>
                </c:pt>
                <c:pt idx="7">
                  <c:v>17-18(15)</c:v>
                </c:pt>
                <c:pt idx="8">
                  <c:v>16-17(16)</c:v>
                </c:pt>
              </c:strCache>
            </c:strRef>
          </c:cat>
          <c:val>
            <c:numRef>
              <c:f>'Mate CCSS II'!$G$2:$G$10</c:f>
              <c:numCache>
                <c:formatCode>General</c:formatCode>
                <c:ptCount val="9"/>
                <c:pt idx="0">
                  <c:v>6.43</c:v>
                </c:pt>
                <c:pt idx="1">
                  <c:v>6.11</c:v>
                </c:pt>
                <c:pt idx="2">
                  <c:v>7.11</c:v>
                </c:pt>
                <c:pt idx="3">
                  <c:v>6.68</c:v>
                </c:pt>
                <c:pt idx="4">
                  <c:v>6.89</c:v>
                </c:pt>
                <c:pt idx="5">
                  <c:v>7.72</c:v>
                </c:pt>
                <c:pt idx="6">
                  <c:v>6</c:v>
                </c:pt>
                <c:pt idx="7">
                  <c:v>6.19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C-4F37-97E2-139E83CC9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465686"/>
        <c:axId val="1439455378"/>
      </c:areaChart>
      <c:catAx>
        <c:axId val="834465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39455378"/>
        <c:crosses val="autoZero"/>
        <c:auto val="1"/>
        <c:lblAlgn val="ctr"/>
        <c:lblOffset val="100"/>
        <c:noMultiLvlLbl val="1"/>
      </c:catAx>
      <c:valAx>
        <c:axId val="143945537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3446568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Física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Física!$E$1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Física!$E$2:$E$10</c:f>
              <c:numCache>
                <c:formatCode>0.00%</c:formatCode>
                <c:ptCount val="9"/>
                <c:pt idx="0">
                  <c:v>0.3</c:v>
                </c:pt>
                <c:pt idx="1">
                  <c:v>0.81479999999999997</c:v>
                </c:pt>
                <c:pt idx="2">
                  <c:v>0.90910000000000002</c:v>
                </c:pt>
                <c:pt idx="3">
                  <c:v>0.72</c:v>
                </c:pt>
                <c:pt idx="4">
                  <c:v>0.79169999999999996</c:v>
                </c:pt>
                <c:pt idx="5">
                  <c:v>0.77780000000000005</c:v>
                </c:pt>
                <c:pt idx="6">
                  <c:v>0.76470000000000005</c:v>
                </c:pt>
                <c:pt idx="7">
                  <c:v>0.5333</c:v>
                </c:pt>
                <c:pt idx="8">
                  <c:v>0.77780000000000005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8-44BE-9BC8-D402384E9FAE}"/>
            </c:ext>
          </c:extLst>
        </c:ser>
        <c:ser>
          <c:idx val="1"/>
          <c:order val="1"/>
          <c:tx>
            <c:strRef>
              <c:f>Física!$H$1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Física!$H$2:$H$10</c:f>
              <c:numCache>
                <c:formatCode>0.00%</c:formatCode>
                <c:ptCount val="9"/>
                <c:pt idx="0">
                  <c:v>0.5504</c:v>
                </c:pt>
                <c:pt idx="1">
                  <c:v>0.78490000000000004</c:v>
                </c:pt>
                <c:pt idx="2">
                  <c:v>0.81130000000000002</c:v>
                </c:pt>
                <c:pt idx="3">
                  <c:v>0.60589999999999999</c:v>
                </c:pt>
                <c:pt idx="4">
                  <c:v>0.77890000000000004</c:v>
                </c:pt>
                <c:pt idx="5">
                  <c:v>0.81659999999999999</c:v>
                </c:pt>
                <c:pt idx="6">
                  <c:v>0.52800000000000002</c:v>
                </c:pt>
                <c:pt idx="7">
                  <c:v>0.56520000000000004</c:v>
                </c:pt>
                <c:pt idx="8">
                  <c:v>0.66700000000000004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8-44BE-9BC8-D402384E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38165"/>
        <c:axId val="2086110105"/>
      </c:areaChart>
      <c:catAx>
        <c:axId val="82983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86110105"/>
        <c:crosses val="autoZero"/>
        <c:auto val="1"/>
        <c:lblAlgn val="ctr"/>
        <c:lblOffset val="100"/>
        <c:noMultiLvlLbl val="1"/>
      </c:catAx>
      <c:valAx>
        <c:axId val="208611010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2983816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Física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Física!$F$1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Física!$F$2:$F$10</c:f>
              <c:numCache>
                <c:formatCode>General</c:formatCode>
                <c:ptCount val="9"/>
                <c:pt idx="0">
                  <c:v>4.43</c:v>
                </c:pt>
                <c:pt idx="1">
                  <c:v>6.21</c:v>
                </c:pt>
                <c:pt idx="2">
                  <c:v>7.27</c:v>
                </c:pt>
                <c:pt idx="3">
                  <c:v>5.72</c:v>
                </c:pt>
                <c:pt idx="4">
                  <c:v>6.98</c:v>
                </c:pt>
                <c:pt idx="5">
                  <c:v>7.0460000000000003</c:v>
                </c:pt>
                <c:pt idx="6">
                  <c:v>6.5880000000000001</c:v>
                </c:pt>
                <c:pt idx="7">
                  <c:v>5.95</c:v>
                </c:pt>
                <c:pt idx="8">
                  <c:v>6.4580000000000002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D-4A91-A0EA-34D8F6DEDFDF}"/>
            </c:ext>
          </c:extLst>
        </c:ser>
        <c:ser>
          <c:idx val="1"/>
          <c:order val="1"/>
          <c:tx>
            <c:strRef>
              <c:f>Física!$I$1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Física!$I$2:$I$10</c:f>
              <c:numCache>
                <c:formatCode>General</c:formatCode>
                <c:ptCount val="9"/>
                <c:pt idx="0">
                  <c:v>5.3</c:v>
                </c:pt>
                <c:pt idx="1">
                  <c:v>6.45</c:v>
                </c:pt>
                <c:pt idx="2">
                  <c:v>6.85</c:v>
                </c:pt>
                <c:pt idx="3">
                  <c:v>5.52</c:v>
                </c:pt>
                <c:pt idx="4">
                  <c:v>6.92</c:v>
                </c:pt>
                <c:pt idx="5">
                  <c:v>7.0810000000000004</c:v>
                </c:pt>
                <c:pt idx="6">
                  <c:v>4.9480000000000004</c:v>
                </c:pt>
                <c:pt idx="7">
                  <c:v>5.2549999999999999</c:v>
                </c:pt>
                <c:pt idx="8">
                  <c:v>5.7220000000000004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D-4A91-A0EA-34D8F6DED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131849"/>
        <c:axId val="657024940"/>
      </c:areaChart>
      <c:catAx>
        <c:axId val="1171131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57024940"/>
        <c:crosses val="autoZero"/>
        <c:auto val="1"/>
        <c:lblAlgn val="ctr"/>
        <c:lblOffset val="100"/>
        <c:noMultiLvlLbl val="1"/>
      </c:catAx>
      <c:valAx>
        <c:axId val="65702494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7113184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Física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Física!$F$1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Física!$F$2:$F$10</c:f>
              <c:numCache>
                <c:formatCode>General</c:formatCode>
                <c:ptCount val="9"/>
                <c:pt idx="0">
                  <c:v>4.43</c:v>
                </c:pt>
                <c:pt idx="1">
                  <c:v>6.21</c:v>
                </c:pt>
                <c:pt idx="2">
                  <c:v>7.27</c:v>
                </c:pt>
                <c:pt idx="3">
                  <c:v>5.72</c:v>
                </c:pt>
                <c:pt idx="4">
                  <c:v>6.98</c:v>
                </c:pt>
                <c:pt idx="5">
                  <c:v>7.0460000000000003</c:v>
                </c:pt>
                <c:pt idx="6">
                  <c:v>6.5880000000000001</c:v>
                </c:pt>
                <c:pt idx="7">
                  <c:v>5.95</c:v>
                </c:pt>
                <c:pt idx="8">
                  <c:v>6.4580000000000002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A-426D-AA5B-9A5F47012BEB}"/>
            </c:ext>
          </c:extLst>
        </c:ser>
        <c:ser>
          <c:idx val="1"/>
          <c:order val="1"/>
          <c:tx>
            <c:strRef>
              <c:f>Física!$G$1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Física!$D$2:$D$10</c:f>
              <c:strCache>
                <c:ptCount val="9"/>
                <c:pt idx="0">
                  <c:v>24-25(20)</c:v>
                </c:pt>
                <c:pt idx="1">
                  <c:v>23-24(26)</c:v>
                </c:pt>
                <c:pt idx="2">
                  <c:v>22-23(21)</c:v>
                </c:pt>
                <c:pt idx="3">
                  <c:v>21-22(25)</c:v>
                </c:pt>
                <c:pt idx="4">
                  <c:v>20-21(24)</c:v>
                </c:pt>
                <c:pt idx="5">
                  <c:v>19-20(28)</c:v>
                </c:pt>
                <c:pt idx="6">
                  <c:v>18-19(17)</c:v>
                </c:pt>
                <c:pt idx="7">
                  <c:v>17-18(15)</c:v>
                </c:pt>
                <c:pt idx="8">
                  <c:v>16-17(18)</c:v>
                </c:pt>
              </c:strCache>
            </c:strRef>
          </c:cat>
          <c:val>
            <c:numRef>
              <c:f>Física!$G$2:$G$10</c:f>
              <c:numCache>
                <c:formatCode>General</c:formatCode>
                <c:ptCount val="9"/>
                <c:pt idx="0">
                  <c:v>6.65</c:v>
                </c:pt>
                <c:pt idx="1">
                  <c:v>7</c:v>
                </c:pt>
                <c:pt idx="2">
                  <c:v>7.2</c:v>
                </c:pt>
                <c:pt idx="3">
                  <c:v>7.48</c:v>
                </c:pt>
                <c:pt idx="4">
                  <c:v>7.77</c:v>
                </c:pt>
                <c:pt idx="5">
                  <c:v>7.3</c:v>
                </c:pt>
                <c:pt idx="6">
                  <c:v>7.62</c:v>
                </c:pt>
                <c:pt idx="7">
                  <c:v>7.35</c:v>
                </c:pt>
                <c:pt idx="8">
                  <c:v>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A-426D-AA5B-9A5F47012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303153"/>
        <c:axId val="897416523"/>
      </c:areaChart>
      <c:catAx>
        <c:axId val="2054303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97416523"/>
        <c:crosses val="autoZero"/>
        <c:auto val="1"/>
        <c:lblAlgn val="ctr"/>
        <c:lblOffset val="100"/>
        <c:noMultiLvlLbl val="1"/>
      </c:catAx>
      <c:valAx>
        <c:axId val="89741652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5430315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Química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Química!$E$1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Química!$E$2:$E$10</c:f>
              <c:numCache>
                <c:formatCode>0.00%</c:formatCode>
                <c:ptCount val="9"/>
                <c:pt idx="0">
                  <c:v>0.86670000000000003</c:v>
                </c:pt>
                <c:pt idx="1">
                  <c:v>0.78569999999999995</c:v>
                </c:pt>
                <c:pt idx="2">
                  <c:v>0.71430000000000005</c:v>
                </c:pt>
                <c:pt idx="3">
                  <c:v>0.78949999999999998</c:v>
                </c:pt>
                <c:pt idx="4">
                  <c:v>0.96299999999999997</c:v>
                </c:pt>
                <c:pt idx="5">
                  <c:v>0.68179999999999996</c:v>
                </c:pt>
                <c:pt idx="6">
                  <c:v>1</c:v>
                </c:pt>
                <c:pt idx="7">
                  <c:v>0.85709999999999997</c:v>
                </c:pt>
                <c:pt idx="8">
                  <c:v>0.54549999999999998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2-407C-9576-4CB3300C7BA4}"/>
            </c:ext>
          </c:extLst>
        </c:ser>
        <c:ser>
          <c:idx val="1"/>
          <c:order val="1"/>
          <c:tx>
            <c:strRef>
              <c:f>Química!$H$1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Química!$H$2:$H$10</c:f>
              <c:numCache>
                <c:formatCode>0.00%</c:formatCode>
                <c:ptCount val="9"/>
                <c:pt idx="0">
                  <c:v>0.73660000000000003</c:v>
                </c:pt>
                <c:pt idx="1">
                  <c:v>0.77969999999999995</c:v>
                </c:pt>
                <c:pt idx="2">
                  <c:v>0.8145</c:v>
                </c:pt>
                <c:pt idx="3">
                  <c:v>0.84809999999999997</c:v>
                </c:pt>
                <c:pt idx="4">
                  <c:v>0.90310000000000001</c:v>
                </c:pt>
                <c:pt idx="5">
                  <c:v>0.69730000000000003</c:v>
                </c:pt>
                <c:pt idx="6">
                  <c:v>0.77290000000000003</c:v>
                </c:pt>
                <c:pt idx="7">
                  <c:v>0.7198</c:v>
                </c:pt>
                <c:pt idx="8">
                  <c:v>0.53610000000000002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2-407C-9576-4CB3300C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66643"/>
        <c:axId val="642727071"/>
      </c:areaChart>
      <c:catAx>
        <c:axId val="93466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42727071"/>
        <c:crosses val="autoZero"/>
        <c:auto val="1"/>
        <c:lblAlgn val="ctr"/>
        <c:lblOffset val="100"/>
        <c:noMultiLvlLbl val="1"/>
      </c:catAx>
      <c:valAx>
        <c:axId val="64272707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346664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Química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Química!$F$1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Química!$F$2:$F$10</c:f>
              <c:numCache>
                <c:formatCode>General</c:formatCode>
                <c:ptCount val="9"/>
                <c:pt idx="0">
                  <c:v>6.68</c:v>
                </c:pt>
                <c:pt idx="1">
                  <c:v>6.1</c:v>
                </c:pt>
                <c:pt idx="2">
                  <c:v>6.68</c:v>
                </c:pt>
                <c:pt idx="3">
                  <c:v>7.01</c:v>
                </c:pt>
                <c:pt idx="4">
                  <c:v>7.71</c:v>
                </c:pt>
                <c:pt idx="5">
                  <c:v>6.0110000000000001</c:v>
                </c:pt>
                <c:pt idx="6">
                  <c:v>7.1790000000000003</c:v>
                </c:pt>
                <c:pt idx="7">
                  <c:v>6.3929999999999998</c:v>
                </c:pt>
                <c:pt idx="8">
                  <c:v>4.5229999999999997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6-45E2-8706-E50219249C33}"/>
            </c:ext>
          </c:extLst>
        </c:ser>
        <c:ser>
          <c:idx val="1"/>
          <c:order val="1"/>
          <c:tx>
            <c:strRef>
              <c:f>Química!$I$1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Química!$I$2:$I$10</c:f>
              <c:numCache>
                <c:formatCode>General</c:formatCode>
                <c:ptCount val="9"/>
                <c:pt idx="0">
                  <c:v>6.11</c:v>
                </c:pt>
                <c:pt idx="1">
                  <c:v>6.48</c:v>
                </c:pt>
                <c:pt idx="2">
                  <c:v>6.81</c:v>
                </c:pt>
                <c:pt idx="3">
                  <c:v>7.06</c:v>
                </c:pt>
                <c:pt idx="4">
                  <c:v>7.6</c:v>
                </c:pt>
                <c:pt idx="5">
                  <c:v>6.1040000000000001</c:v>
                </c:pt>
                <c:pt idx="6">
                  <c:v>6.6040000000000001</c:v>
                </c:pt>
                <c:pt idx="7">
                  <c:v>6.0940000000000003</c:v>
                </c:pt>
                <c:pt idx="8">
                  <c:v>4.9320000000000004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6-45E2-8706-E50219249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79689"/>
        <c:axId val="601949425"/>
      </c:areaChart>
      <c:catAx>
        <c:axId val="909679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01949425"/>
        <c:crosses val="autoZero"/>
        <c:auto val="1"/>
        <c:lblAlgn val="ctr"/>
        <c:lblOffset val="100"/>
        <c:noMultiLvlLbl val="1"/>
      </c:catAx>
      <c:valAx>
        <c:axId val="60194942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096796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Química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Química!$F$1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Química!$F$2:$F$10</c:f>
              <c:numCache>
                <c:formatCode>General</c:formatCode>
                <c:ptCount val="9"/>
                <c:pt idx="0">
                  <c:v>6.68</c:v>
                </c:pt>
                <c:pt idx="1">
                  <c:v>6.1</c:v>
                </c:pt>
                <c:pt idx="2">
                  <c:v>6.68</c:v>
                </c:pt>
                <c:pt idx="3">
                  <c:v>7.01</c:v>
                </c:pt>
                <c:pt idx="4">
                  <c:v>7.71</c:v>
                </c:pt>
                <c:pt idx="5">
                  <c:v>6.0110000000000001</c:v>
                </c:pt>
                <c:pt idx="6">
                  <c:v>7.1790000000000003</c:v>
                </c:pt>
                <c:pt idx="7">
                  <c:v>6.3929999999999998</c:v>
                </c:pt>
                <c:pt idx="8">
                  <c:v>4.5229999999999997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9-4DE2-8A7B-B1C394BF5FBD}"/>
            </c:ext>
          </c:extLst>
        </c:ser>
        <c:ser>
          <c:idx val="1"/>
          <c:order val="1"/>
          <c:tx>
            <c:strRef>
              <c:f>Química!$G$1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Química!$D$2:$D$10</c:f>
              <c:strCache>
                <c:ptCount val="9"/>
                <c:pt idx="0">
                  <c:v>24-25(15)</c:v>
                </c:pt>
                <c:pt idx="1">
                  <c:v>23-24(28)</c:v>
                </c:pt>
                <c:pt idx="2">
                  <c:v>22-23(13)</c:v>
                </c:pt>
                <c:pt idx="3">
                  <c:v>21-22(19)</c:v>
                </c:pt>
                <c:pt idx="4">
                  <c:v>20-21(27)</c:v>
                </c:pt>
                <c:pt idx="5">
                  <c:v>19-20(22)</c:v>
                </c:pt>
                <c:pt idx="6">
                  <c:v>18-19(14)</c:v>
                </c:pt>
                <c:pt idx="7">
                  <c:v>17-18(14)</c:v>
                </c:pt>
                <c:pt idx="8">
                  <c:v>16-17(11)</c:v>
                </c:pt>
              </c:strCache>
            </c:strRef>
          </c:cat>
          <c:val>
            <c:numRef>
              <c:f>Química!$G$2:$G$10</c:f>
              <c:numCache>
                <c:formatCode>General</c:formatCode>
                <c:ptCount val="9"/>
                <c:pt idx="0">
                  <c:v>7.05</c:v>
                </c:pt>
                <c:pt idx="1">
                  <c:v>7.46</c:v>
                </c:pt>
                <c:pt idx="2">
                  <c:v>6.68</c:v>
                </c:pt>
                <c:pt idx="3">
                  <c:v>7.62</c:v>
                </c:pt>
                <c:pt idx="4">
                  <c:v>7.65</c:v>
                </c:pt>
                <c:pt idx="5">
                  <c:v>7.37</c:v>
                </c:pt>
                <c:pt idx="6">
                  <c:v>7.52</c:v>
                </c:pt>
                <c:pt idx="7">
                  <c:v>6.57</c:v>
                </c:pt>
                <c:pt idx="8">
                  <c:v>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9-4DE2-8A7B-B1C394BF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38041"/>
        <c:axId val="1908118946"/>
      </c:areaChart>
      <c:catAx>
        <c:axId val="198203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08118946"/>
        <c:crosses val="autoZero"/>
        <c:auto val="1"/>
        <c:lblAlgn val="ctr"/>
        <c:lblOffset val="100"/>
        <c:noMultiLvlLbl val="1"/>
      </c:catAx>
      <c:valAx>
        <c:axId val="190811894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8203804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Biología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Biología!$E$1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Biología!$E$2:$E$10</c:f>
              <c:numCache>
                <c:formatCode>0.00%</c:formatCode>
                <c:ptCount val="9"/>
                <c:pt idx="0">
                  <c:v>0.54549999999999998</c:v>
                </c:pt>
                <c:pt idx="1">
                  <c:v>0.63639999999999997</c:v>
                </c:pt>
                <c:pt idx="2">
                  <c:v>0.85709999999999997</c:v>
                </c:pt>
                <c:pt idx="3">
                  <c:v>0.9</c:v>
                </c:pt>
                <c:pt idx="4">
                  <c:v>1</c:v>
                </c:pt>
                <c:pt idx="5">
                  <c:v>0.90910000000000002</c:v>
                </c:pt>
                <c:pt idx="6">
                  <c:v>0.88890000000000002</c:v>
                </c:pt>
                <c:pt idx="7">
                  <c:v>0.88890000000000002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C-4B7B-9E23-8A2D4A57D926}"/>
            </c:ext>
          </c:extLst>
        </c:ser>
        <c:ser>
          <c:idx val="1"/>
          <c:order val="1"/>
          <c:tx>
            <c:strRef>
              <c:f>Biología!$H$1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Biología!$H$2:$H$10</c:f>
              <c:numCache>
                <c:formatCode>0.00%</c:formatCode>
                <c:ptCount val="9"/>
                <c:pt idx="0">
                  <c:v>0.65129999999999999</c:v>
                </c:pt>
                <c:pt idx="1">
                  <c:v>0.76990000000000003</c:v>
                </c:pt>
                <c:pt idx="2">
                  <c:v>0.70630000000000004</c:v>
                </c:pt>
                <c:pt idx="3">
                  <c:v>0.88449999999999995</c:v>
                </c:pt>
                <c:pt idx="4">
                  <c:v>0.85009999999999997</c:v>
                </c:pt>
                <c:pt idx="5">
                  <c:v>0.71619999999999995</c:v>
                </c:pt>
                <c:pt idx="6">
                  <c:v>0.78100000000000003</c:v>
                </c:pt>
                <c:pt idx="7">
                  <c:v>0.70850000000000002</c:v>
                </c:pt>
                <c:pt idx="8">
                  <c:v>0.86329999999999996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C-4B7B-9E23-8A2D4A57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207571"/>
        <c:axId val="25153583"/>
      </c:areaChart>
      <c:catAx>
        <c:axId val="923207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5153583"/>
        <c:crosses val="autoZero"/>
        <c:auto val="1"/>
        <c:lblAlgn val="ctr"/>
        <c:lblOffset val="100"/>
        <c:noMultiLvlLbl val="1"/>
      </c:catAx>
      <c:valAx>
        <c:axId val="2515358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232075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Biología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Biología!$F$1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Biología!$F$2:$F$10</c:f>
              <c:numCache>
                <c:formatCode>General</c:formatCode>
                <c:ptCount val="9"/>
                <c:pt idx="0">
                  <c:v>5</c:v>
                </c:pt>
                <c:pt idx="1">
                  <c:v>5.75</c:v>
                </c:pt>
                <c:pt idx="2">
                  <c:v>6.71</c:v>
                </c:pt>
                <c:pt idx="3">
                  <c:v>7.55</c:v>
                </c:pt>
                <c:pt idx="4">
                  <c:v>7.47</c:v>
                </c:pt>
                <c:pt idx="5">
                  <c:v>7.5</c:v>
                </c:pt>
                <c:pt idx="6">
                  <c:v>7.306</c:v>
                </c:pt>
                <c:pt idx="7">
                  <c:v>6.7779999999999996</c:v>
                </c:pt>
                <c:pt idx="8">
                  <c:v>7.2919999999999998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F-47A2-84B4-3FDBF4EEE479}"/>
            </c:ext>
          </c:extLst>
        </c:ser>
        <c:ser>
          <c:idx val="1"/>
          <c:order val="1"/>
          <c:tx>
            <c:strRef>
              <c:f>Biología!$I$1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Biología!$I$2:$I$10</c:f>
              <c:numCache>
                <c:formatCode>General</c:formatCode>
                <c:ptCount val="9"/>
                <c:pt idx="0">
                  <c:v>5.64</c:v>
                </c:pt>
                <c:pt idx="1">
                  <c:v>6.29</c:v>
                </c:pt>
                <c:pt idx="2">
                  <c:v>6.02</c:v>
                </c:pt>
                <c:pt idx="3">
                  <c:v>7.31</c:v>
                </c:pt>
                <c:pt idx="4">
                  <c:v>7.14</c:v>
                </c:pt>
                <c:pt idx="5">
                  <c:v>6.3259999999999996</c:v>
                </c:pt>
                <c:pt idx="6">
                  <c:v>6.3639999999999999</c:v>
                </c:pt>
                <c:pt idx="7">
                  <c:v>5.9950000000000001</c:v>
                </c:pt>
                <c:pt idx="8">
                  <c:v>6.9640000000000004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F-47A2-84B4-3FDBF4EE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03074"/>
        <c:axId val="2138474649"/>
      </c:areaChart>
      <c:catAx>
        <c:axId val="450903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38474649"/>
        <c:crosses val="autoZero"/>
        <c:auto val="1"/>
        <c:lblAlgn val="ctr"/>
        <c:lblOffset val="100"/>
        <c:noMultiLvlLbl val="1"/>
      </c:catAx>
      <c:valAx>
        <c:axId val="213847464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5090307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Biología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Biología!$F$1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Biología!$F$2:$F$10</c:f>
              <c:numCache>
                <c:formatCode>General</c:formatCode>
                <c:ptCount val="9"/>
                <c:pt idx="0">
                  <c:v>5</c:v>
                </c:pt>
                <c:pt idx="1">
                  <c:v>5.75</c:v>
                </c:pt>
                <c:pt idx="2">
                  <c:v>6.71</c:v>
                </c:pt>
                <c:pt idx="3">
                  <c:v>7.55</c:v>
                </c:pt>
                <c:pt idx="4">
                  <c:v>7.47</c:v>
                </c:pt>
                <c:pt idx="5">
                  <c:v>7.5</c:v>
                </c:pt>
                <c:pt idx="6">
                  <c:v>7.306</c:v>
                </c:pt>
                <c:pt idx="7">
                  <c:v>6.7779999999999996</c:v>
                </c:pt>
                <c:pt idx="8">
                  <c:v>7.2919999999999998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3-4D5E-8D82-745B08F73955}"/>
            </c:ext>
          </c:extLst>
        </c:ser>
        <c:ser>
          <c:idx val="1"/>
          <c:order val="1"/>
          <c:tx>
            <c:strRef>
              <c:f>Biología!$G$1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Biología!$D$2:$D$10</c:f>
              <c:strCache>
                <c:ptCount val="9"/>
                <c:pt idx="0">
                  <c:v>24-25(11)</c:v>
                </c:pt>
                <c:pt idx="1">
                  <c:v>23-24(10)</c:v>
                </c:pt>
                <c:pt idx="2">
                  <c:v>22-23(6)</c:v>
                </c:pt>
                <c:pt idx="3">
                  <c:v>21-22(10)</c:v>
                </c:pt>
                <c:pt idx="4">
                  <c:v>20-21(8)</c:v>
                </c:pt>
                <c:pt idx="5">
                  <c:v>19-20(11)</c:v>
                </c:pt>
                <c:pt idx="6">
                  <c:v>18-19(9)</c:v>
                </c:pt>
                <c:pt idx="7">
                  <c:v>17-18(9)</c:v>
                </c:pt>
                <c:pt idx="8">
                  <c:v>16-17(6)</c:v>
                </c:pt>
              </c:strCache>
            </c:strRef>
          </c:cat>
          <c:val>
            <c:numRef>
              <c:f>Biología!$G$2:$G$10</c:f>
              <c:numCache>
                <c:formatCode>General</c:formatCode>
                <c:ptCount val="9"/>
                <c:pt idx="0">
                  <c:v>7.6</c:v>
                </c:pt>
                <c:pt idx="1">
                  <c:v>7.5</c:v>
                </c:pt>
                <c:pt idx="2">
                  <c:v>7.86</c:v>
                </c:pt>
                <c:pt idx="3">
                  <c:v>7.76</c:v>
                </c:pt>
                <c:pt idx="4">
                  <c:v>7.2</c:v>
                </c:pt>
                <c:pt idx="5">
                  <c:v>8.31</c:v>
                </c:pt>
                <c:pt idx="6">
                  <c:v>8</c:v>
                </c:pt>
                <c:pt idx="7">
                  <c:v>7.15</c:v>
                </c:pt>
                <c:pt idx="8">
                  <c:v>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3-4D5E-8D82-745B08F7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815435"/>
        <c:axId val="380466244"/>
      </c:areaChart>
      <c:catAx>
        <c:axId val="555815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80466244"/>
        <c:crosses val="autoZero"/>
        <c:auto val="1"/>
        <c:lblAlgn val="ctr"/>
        <c:lblOffset val="100"/>
        <c:noMultiLvlLbl val="1"/>
      </c:catAx>
      <c:valAx>
        <c:axId val="38046624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5581543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Dibujo Técnico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'Dibujo Técnico'!$E$1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Técnico'!$E$2:$E$10</c:f>
              <c:numCache>
                <c:formatCode>0.00%</c:formatCode>
                <c:ptCount val="9"/>
                <c:pt idx="0">
                  <c:v>0.25</c:v>
                </c:pt>
                <c:pt idx="1">
                  <c:v>0.5</c:v>
                </c:pt>
                <c:pt idx="2">
                  <c:v>0.625</c:v>
                </c:pt>
                <c:pt idx="3">
                  <c:v>0.66669999999999996</c:v>
                </c:pt>
                <c:pt idx="4">
                  <c:v>0.33329999999999999</c:v>
                </c:pt>
                <c:pt idx="5">
                  <c:v>0.85709999999999997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B-4B48-AD0D-529A4A534E54}"/>
            </c:ext>
          </c:extLst>
        </c:ser>
        <c:ser>
          <c:idx val="1"/>
          <c:order val="1"/>
          <c:tx>
            <c:strRef>
              <c:f>'Dibujo Técnico'!$H$1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Técnico'!$H$2:$H$10</c:f>
              <c:numCache>
                <c:formatCode>0.00%</c:formatCode>
                <c:ptCount val="9"/>
                <c:pt idx="0">
                  <c:v>0.66769999999999996</c:v>
                </c:pt>
                <c:pt idx="1">
                  <c:v>0.84799999999999998</c:v>
                </c:pt>
                <c:pt idx="2">
                  <c:v>0.7167</c:v>
                </c:pt>
                <c:pt idx="3">
                  <c:v>0.59870000000000001</c:v>
                </c:pt>
                <c:pt idx="4">
                  <c:v>0.64529999999999998</c:v>
                </c:pt>
                <c:pt idx="5">
                  <c:v>0.83</c:v>
                </c:pt>
                <c:pt idx="6">
                  <c:v>0.4501</c:v>
                </c:pt>
                <c:pt idx="7">
                  <c:v>0.6129</c:v>
                </c:pt>
                <c:pt idx="8">
                  <c:v>0.44819999999999999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B-4B48-AD0D-529A4A53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99739"/>
        <c:axId val="1943684513"/>
      </c:areaChart>
      <c:catAx>
        <c:axId val="111999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43684513"/>
        <c:crosses val="autoZero"/>
        <c:auto val="1"/>
        <c:lblAlgn val="ctr"/>
        <c:lblOffset val="100"/>
        <c:noMultiLvlLbl val="1"/>
      </c:catAx>
      <c:valAx>
        <c:axId val="194368451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19997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Dibujo Técnico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'Dibujo Técnico'!$F$1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Técnico'!$F$2:$F$10</c:f>
              <c:numCache>
                <c:formatCode>General</c:formatCode>
                <c:ptCount val="9"/>
                <c:pt idx="0">
                  <c:v>3.31</c:v>
                </c:pt>
                <c:pt idx="1">
                  <c:v>5.88</c:v>
                </c:pt>
                <c:pt idx="2">
                  <c:v>5.53</c:v>
                </c:pt>
                <c:pt idx="3">
                  <c:v>5.75</c:v>
                </c:pt>
                <c:pt idx="4">
                  <c:v>4.42</c:v>
                </c:pt>
                <c:pt idx="5">
                  <c:v>6.8570000000000002</c:v>
                </c:pt>
                <c:pt idx="6">
                  <c:v>4.3120000000000003</c:v>
                </c:pt>
                <c:pt idx="7">
                  <c:v>5.9169999999999998</c:v>
                </c:pt>
                <c:pt idx="8">
                  <c:v>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3-46DA-873B-06CD23810F1E}"/>
            </c:ext>
          </c:extLst>
        </c:ser>
        <c:ser>
          <c:idx val="1"/>
          <c:order val="1"/>
          <c:tx>
            <c:strRef>
              <c:f>'Dibujo Técnico'!$I$1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Técnico'!$I$2:$I$10</c:f>
              <c:numCache>
                <c:formatCode>General</c:formatCode>
                <c:ptCount val="9"/>
                <c:pt idx="0">
                  <c:v>5.79</c:v>
                </c:pt>
                <c:pt idx="1">
                  <c:v>7.08</c:v>
                </c:pt>
                <c:pt idx="2">
                  <c:v>6.15</c:v>
                </c:pt>
                <c:pt idx="3">
                  <c:v>5.45</c:v>
                </c:pt>
                <c:pt idx="4">
                  <c:v>5.8</c:v>
                </c:pt>
                <c:pt idx="5">
                  <c:v>7.0229999999999997</c:v>
                </c:pt>
                <c:pt idx="6">
                  <c:v>4.7009999999999996</c:v>
                </c:pt>
                <c:pt idx="7">
                  <c:v>5.5140000000000002</c:v>
                </c:pt>
                <c:pt idx="8">
                  <c:v>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3-46DA-873B-06CD23810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948075"/>
        <c:axId val="94256922"/>
      </c:areaChart>
      <c:catAx>
        <c:axId val="1511948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4256922"/>
        <c:crosses val="autoZero"/>
        <c:auto val="1"/>
        <c:lblAlgn val="ctr"/>
        <c:lblOffset val="100"/>
        <c:noMultiLvlLbl val="1"/>
      </c:catAx>
      <c:valAx>
        <c:axId val="9425692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1194807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Dibujo Técnico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'Dibujo Técnico'!$F$1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Técnico'!$F$2:$F$10</c:f>
              <c:numCache>
                <c:formatCode>General</c:formatCode>
                <c:ptCount val="9"/>
                <c:pt idx="0">
                  <c:v>3.31</c:v>
                </c:pt>
                <c:pt idx="1">
                  <c:v>5.88</c:v>
                </c:pt>
                <c:pt idx="2">
                  <c:v>5.53</c:v>
                </c:pt>
                <c:pt idx="3">
                  <c:v>5.75</c:v>
                </c:pt>
                <c:pt idx="4">
                  <c:v>4.42</c:v>
                </c:pt>
                <c:pt idx="5">
                  <c:v>6.8570000000000002</c:v>
                </c:pt>
                <c:pt idx="6">
                  <c:v>4.3120000000000003</c:v>
                </c:pt>
                <c:pt idx="7">
                  <c:v>5.9169999999999998</c:v>
                </c:pt>
                <c:pt idx="8">
                  <c:v>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3-4BE4-8B1C-816F9FD4E4F4}"/>
            </c:ext>
          </c:extLst>
        </c:ser>
        <c:ser>
          <c:idx val="1"/>
          <c:order val="1"/>
          <c:tx>
            <c:strRef>
              <c:f>'Dibujo Técnico'!$G$1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'Dibujo Técnico'!$D$2:$D$10</c:f>
              <c:strCache>
                <c:ptCount val="9"/>
                <c:pt idx="0">
                  <c:v>24-25(4)</c:v>
                </c:pt>
                <c:pt idx="1">
                  <c:v>23-24(2)</c:v>
                </c:pt>
                <c:pt idx="2">
                  <c:v>22-23(8)</c:v>
                </c:pt>
                <c:pt idx="3">
                  <c:v>21-22(6)</c:v>
                </c:pt>
                <c:pt idx="4">
                  <c:v>20-21(3)</c:v>
                </c:pt>
                <c:pt idx="5">
                  <c:v>19-20(7)</c:v>
                </c:pt>
                <c:pt idx="6">
                  <c:v>18-19(4)</c:v>
                </c:pt>
                <c:pt idx="7">
                  <c:v>17-18(6)</c:v>
                </c:pt>
                <c:pt idx="8">
                  <c:v>16-17(2)</c:v>
                </c:pt>
              </c:strCache>
            </c:strRef>
          </c:cat>
          <c:val>
            <c:numRef>
              <c:f>'Dibujo Técnico'!$G$2:$G$10</c:f>
              <c:numCache>
                <c:formatCode>General</c:formatCode>
                <c:ptCount val="9"/>
                <c:pt idx="0">
                  <c:v>9.5</c:v>
                </c:pt>
                <c:pt idx="1">
                  <c:v>8.08</c:v>
                </c:pt>
                <c:pt idx="2">
                  <c:v>7.41</c:v>
                </c:pt>
                <c:pt idx="3">
                  <c:v>8.1300000000000008</c:v>
                </c:pt>
                <c:pt idx="4">
                  <c:v>8.5</c:v>
                </c:pt>
                <c:pt idx="5">
                  <c:v>8.43</c:v>
                </c:pt>
                <c:pt idx="6">
                  <c:v>8.43</c:v>
                </c:pt>
                <c:pt idx="7">
                  <c:v>7.8</c:v>
                </c:pt>
                <c:pt idx="8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3-4BE4-8B1C-816F9FD4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205414"/>
        <c:axId val="2141235595"/>
      </c:areaChart>
      <c:catAx>
        <c:axId val="154120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41235595"/>
        <c:crosses val="autoZero"/>
        <c:auto val="1"/>
        <c:lblAlgn val="ctr"/>
        <c:lblOffset val="100"/>
        <c:noMultiLvlLbl val="1"/>
      </c:catAx>
      <c:valAx>
        <c:axId val="214123559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4120541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Economía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Economía!$E$1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Economía!$E$2:$E$10</c:f>
              <c:numCache>
                <c:formatCode>0.00%</c:formatCode>
                <c:ptCount val="9"/>
                <c:pt idx="0">
                  <c:v>1</c:v>
                </c:pt>
                <c:pt idx="1">
                  <c:v>0.75</c:v>
                </c:pt>
                <c:pt idx="2">
                  <c:v>0.90910000000000002</c:v>
                </c:pt>
                <c:pt idx="3">
                  <c:v>0.9</c:v>
                </c:pt>
                <c:pt idx="4">
                  <c:v>1</c:v>
                </c:pt>
                <c:pt idx="5">
                  <c:v>0.84619999999999995</c:v>
                </c:pt>
                <c:pt idx="6">
                  <c:v>0.64290000000000003</c:v>
                </c:pt>
                <c:pt idx="7">
                  <c:v>0.85709999999999997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A-4AF4-B180-67FA5230BE6C}"/>
            </c:ext>
          </c:extLst>
        </c:ser>
        <c:ser>
          <c:idx val="1"/>
          <c:order val="1"/>
          <c:tx>
            <c:strRef>
              <c:f>Economía!$H$1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Economía!$H$2:$H$10</c:f>
              <c:numCache>
                <c:formatCode>0.00%</c:formatCode>
                <c:ptCount val="9"/>
                <c:pt idx="0">
                  <c:v>0.76219999999999999</c:v>
                </c:pt>
                <c:pt idx="1">
                  <c:v>0.79469999999999996</c:v>
                </c:pt>
                <c:pt idx="2">
                  <c:v>0.76500000000000001</c:v>
                </c:pt>
                <c:pt idx="3">
                  <c:v>0.84099999999999997</c:v>
                </c:pt>
                <c:pt idx="4">
                  <c:v>0.82809999999999995</c:v>
                </c:pt>
                <c:pt idx="5">
                  <c:v>0.77400000000000002</c:v>
                </c:pt>
                <c:pt idx="6">
                  <c:v>0.58650000000000002</c:v>
                </c:pt>
                <c:pt idx="7">
                  <c:v>0.71009999999999995</c:v>
                </c:pt>
                <c:pt idx="8">
                  <c:v>0.69869999999999999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AA-4AF4-B180-67FA5230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181187"/>
        <c:axId val="908507453"/>
      </c:areaChart>
      <c:catAx>
        <c:axId val="1709181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08507453"/>
        <c:crosses val="autoZero"/>
        <c:auto val="1"/>
        <c:lblAlgn val="ctr"/>
        <c:lblOffset val="100"/>
        <c:noMultiLvlLbl val="1"/>
      </c:catAx>
      <c:valAx>
        <c:axId val="90850745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091811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Economía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Economía!$F$1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Economía!$F$2:$F$10</c:f>
              <c:numCache>
                <c:formatCode>General</c:formatCode>
                <c:ptCount val="9"/>
                <c:pt idx="0">
                  <c:v>6.1</c:v>
                </c:pt>
                <c:pt idx="1">
                  <c:v>5.94</c:v>
                </c:pt>
                <c:pt idx="2">
                  <c:v>8.23</c:v>
                </c:pt>
                <c:pt idx="3">
                  <c:v>7.9</c:v>
                </c:pt>
                <c:pt idx="4">
                  <c:v>8.18</c:v>
                </c:pt>
                <c:pt idx="5">
                  <c:v>7.577</c:v>
                </c:pt>
                <c:pt idx="6">
                  <c:v>4.9290000000000003</c:v>
                </c:pt>
                <c:pt idx="7">
                  <c:v>7.6429999999999998</c:v>
                </c:pt>
                <c:pt idx="8">
                  <c:v>7.5830000000000002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C-47D6-8A80-4CDA82D845DE}"/>
            </c:ext>
          </c:extLst>
        </c:ser>
        <c:ser>
          <c:idx val="1"/>
          <c:order val="1"/>
          <c:tx>
            <c:strRef>
              <c:f>Economía!$I$1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Economía!$I$2:$I$10</c:f>
              <c:numCache>
                <c:formatCode>General</c:formatCode>
                <c:ptCount val="9"/>
                <c:pt idx="0">
                  <c:v>6.22</c:v>
                </c:pt>
                <c:pt idx="1">
                  <c:v>6.6</c:v>
                </c:pt>
                <c:pt idx="2">
                  <c:v>6.5</c:v>
                </c:pt>
                <c:pt idx="3">
                  <c:v>7.02</c:v>
                </c:pt>
                <c:pt idx="4">
                  <c:v>7.01</c:v>
                </c:pt>
                <c:pt idx="5">
                  <c:v>6.5250000000000004</c:v>
                </c:pt>
                <c:pt idx="6">
                  <c:v>5.3979999999999997</c:v>
                </c:pt>
                <c:pt idx="7">
                  <c:v>6.1849999999999996</c:v>
                </c:pt>
                <c:pt idx="8">
                  <c:v>5.7930000000000001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C-47D6-8A80-4CDA82D8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923262"/>
        <c:axId val="1709137840"/>
      </c:areaChart>
      <c:catAx>
        <c:axId val="1009923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09137840"/>
        <c:crosses val="autoZero"/>
        <c:auto val="1"/>
        <c:lblAlgn val="ctr"/>
        <c:lblOffset val="100"/>
        <c:noMultiLvlLbl val="1"/>
      </c:catAx>
      <c:valAx>
        <c:axId val="170913784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0992326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Economía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Economía!$F$1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Economía!$F$2:$F$10</c:f>
              <c:numCache>
                <c:formatCode>General</c:formatCode>
                <c:ptCount val="9"/>
                <c:pt idx="0">
                  <c:v>6.1</c:v>
                </c:pt>
                <c:pt idx="1">
                  <c:v>5.94</c:v>
                </c:pt>
                <c:pt idx="2">
                  <c:v>8.23</c:v>
                </c:pt>
                <c:pt idx="3">
                  <c:v>7.9</c:v>
                </c:pt>
                <c:pt idx="4">
                  <c:v>8.18</c:v>
                </c:pt>
                <c:pt idx="5">
                  <c:v>7.577</c:v>
                </c:pt>
                <c:pt idx="6">
                  <c:v>4.9290000000000003</c:v>
                </c:pt>
                <c:pt idx="7">
                  <c:v>7.6429999999999998</c:v>
                </c:pt>
                <c:pt idx="8">
                  <c:v>7.5830000000000002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F-4D6E-88D4-3260923513E4}"/>
            </c:ext>
          </c:extLst>
        </c:ser>
        <c:ser>
          <c:idx val="1"/>
          <c:order val="1"/>
          <c:tx>
            <c:strRef>
              <c:f>Economía!$G$1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Economía!$D$2:$D$10</c:f>
              <c:strCache>
                <c:ptCount val="9"/>
                <c:pt idx="0">
                  <c:v>24-25(5)</c:v>
                </c:pt>
                <c:pt idx="1">
                  <c:v>23-24(8)</c:v>
                </c:pt>
                <c:pt idx="2">
                  <c:v>22-23(11)</c:v>
                </c:pt>
                <c:pt idx="3">
                  <c:v>21-22(10)</c:v>
                </c:pt>
                <c:pt idx="4">
                  <c:v>20-21(14)</c:v>
                </c:pt>
                <c:pt idx="5">
                  <c:v>19-20(13)</c:v>
                </c:pt>
                <c:pt idx="6">
                  <c:v>18-19(14)</c:v>
                </c:pt>
                <c:pt idx="7">
                  <c:v>17-18(7)</c:v>
                </c:pt>
                <c:pt idx="8">
                  <c:v>16-17(12)</c:v>
                </c:pt>
              </c:strCache>
            </c:strRef>
          </c:cat>
          <c:val>
            <c:numRef>
              <c:f>Economía!$G$2:$G$10</c:f>
              <c:numCache>
                <c:formatCode>General</c:formatCode>
                <c:ptCount val="9"/>
                <c:pt idx="0">
                  <c:v>6</c:v>
                </c:pt>
                <c:pt idx="1">
                  <c:v>6.56</c:v>
                </c:pt>
                <c:pt idx="2">
                  <c:v>7</c:v>
                </c:pt>
                <c:pt idx="3">
                  <c:v>6.32</c:v>
                </c:pt>
                <c:pt idx="4">
                  <c:v>6.44</c:v>
                </c:pt>
                <c:pt idx="5">
                  <c:v>7.28</c:v>
                </c:pt>
                <c:pt idx="6">
                  <c:v>6.08</c:v>
                </c:pt>
                <c:pt idx="7">
                  <c:v>6</c:v>
                </c:pt>
                <c:pt idx="8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F-4D6E-88D4-326092351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326511"/>
        <c:axId val="1360575780"/>
      </c:areaChart>
      <c:catAx>
        <c:axId val="135532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60575780"/>
        <c:crosses val="autoZero"/>
        <c:auto val="1"/>
        <c:lblAlgn val="ctr"/>
        <c:lblOffset val="100"/>
        <c:noMultiLvlLbl val="1"/>
      </c:catAx>
      <c:valAx>
        <c:axId val="136057578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553265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Historia de la Filosofía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Filosofía!$E$1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Filosofía!$E$2:$E$10</c:f>
              <c:numCache>
                <c:formatCode>0.00%</c:formatCode>
                <c:ptCount val="9"/>
                <c:pt idx="0">
                  <c:v>0.75</c:v>
                </c:pt>
                <c:pt idx="1">
                  <c:v>0.69230000000000003</c:v>
                </c:pt>
                <c:pt idx="2">
                  <c:v>0.85709999999999997</c:v>
                </c:pt>
                <c:pt idx="3">
                  <c:v>0.71430000000000005</c:v>
                </c:pt>
                <c:pt idx="4">
                  <c:v>0.75</c:v>
                </c:pt>
                <c:pt idx="5">
                  <c:v>0.81820000000000004</c:v>
                </c:pt>
                <c:pt idx="6">
                  <c:v>1</c:v>
                </c:pt>
                <c:pt idx="7">
                  <c:v>0</c:v>
                </c:pt>
                <c:pt idx="8">
                  <c:v>0.76919999999999999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4-45A1-898D-732690DCC0C2}"/>
            </c:ext>
          </c:extLst>
        </c:ser>
        <c:ser>
          <c:idx val="1"/>
          <c:order val="1"/>
          <c:tx>
            <c:strRef>
              <c:f>Filosofía!$H$1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Filosofía!$H$2:$H$10</c:f>
              <c:numCache>
                <c:formatCode>0.00%</c:formatCode>
                <c:ptCount val="9"/>
                <c:pt idx="0">
                  <c:v>0.7621</c:v>
                </c:pt>
                <c:pt idx="1">
                  <c:v>0.82010000000000005</c:v>
                </c:pt>
                <c:pt idx="2">
                  <c:v>0.7893</c:v>
                </c:pt>
                <c:pt idx="3">
                  <c:v>0.79749999999999999</c:v>
                </c:pt>
                <c:pt idx="4">
                  <c:v>0.77300000000000002</c:v>
                </c:pt>
                <c:pt idx="5">
                  <c:v>0.83299999999999996</c:v>
                </c:pt>
                <c:pt idx="6">
                  <c:v>0.74539999999999995</c:v>
                </c:pt>
                <c:pt idx="7">
                  <c:v>0.71870000000000001</c:v>
                </c:pt>
                <c:pt idx="8">
                  <c:v>0.7077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4-45A1-898D-732690DCC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201532"/>
        <c:axId val="538617935"/>
      </c:areaChart>
      <c:catAx>
        <c:axId val="1126201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38617935"/>
        <c:crosses val="autoZero"/>
        <c:auto val="1"/>
        <c:lblAlgn val="ctr"/>
        <c:lblOffset val="100"/>
        <c:noMultiLvlLbl val="1"/>
      </c:catAx>
      <c:valAx>
        <c:axId val="53861793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2620153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 de la Filosofía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Filosofía!$F$1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Filosofía!$F$2:$F$10</c:f>
              <c:numCache>
                <c:formatCode>General</c:formatCode>
                <c:ptCount val="9"/>
                <c:pt idx="0">
                  <c:v>6.36</c:v>
                </c:pt>
                <c:pt idx="1">
                  <c:v>6.3</c:v>
                </c:pt>
                <c:pt idx="2">
                  <c:v>6.21</c:v>
                </c:pt>
                <c:pt idx="3">
                  <c:v>5.55</c:v>
                </c:pt>
                <c:pt idx="4">
                  <c:v>6.38</c:v>
                </c:pt>
                <c:pt idx="5">
                  <c:v>6.4770000000000003</c:v>
                </c:pt>
                <c:pt idx="6">
                  <c:v>6.556</c:v>
                </c:pt>
                <c:pt idx="7">
                  <c:v>3.3119999999999998</c:v>
                </c:pt>
                <c:pt idx="8">
                  <c:v>6.423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BDE-8148-056C58594FC3}"/>
            </c:ext>
          </c:extLst>
        </c:ser>
        <c:ser>
          <c:idx val="1"/>
          <c:order val="1"/>
          <c:tx>
            <c:strRef>
              <c:f>Filosofía!$I$1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Filosofía!$I$2:$I$10</c:f>
              <c:numCache>
                <c:formatCode>General</c:formatCode>
                <c:ptCount val="9"/>
                <c:pt idx="0">
                  <c:v>6.43</c:v>
                </c:pt>
                <c:pt idx="1">
                  <c:v>6.97</c:v>
                </c:pt>
                <c:pt idx="2">
                  <c:v>6.5</c:v>
                </c:pt>
                <c:pt idx="3">
                  <c:v>6.61</c:v>
                </c:pt>
                <c:pt idx="4">
                  <c:v>6.4</c:v>
                </c:pt>
                <c:pt idx="5">
                  <c:v>6.9820000000000002</c:v>
                </c:pt>
                <c:pt idx="6">
                  <c:v>6.1520000000000001</c:v>
                </c:pt>
                <c:pt idx="7">
                  <c:v>6.093</c:v>
                </c:pt>
                <c:pt idx="8">
                  <c:v>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9-4BDE-8148-056C58594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044280"/>
        <c:axId val="1417937849"/>
      </c:areaChart>
      <c:catAx>
        <c:axId val="38604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17937849"/>
        <c:crosses val="autoZero"/>
        <c:auto val="1"/>
        <c:lblAlgn val="ctr"/>
        <c:lblOffset val="100"/>
        <c:noMultiLvlLbl val="1"/>
      </c:catAx>
      <c:valAx>
        <c:axId val="141793784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8604428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 de la Filosofía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Filosofía!$F$1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Filosofía!$F$2:$F$10</c:f>
              <c:numCache>
                <c:formatCode>General</c:formatCode>
                <c:ptCount val="9"/>
                <c:pt idx="0">
                  <c:v>6.36</c:v>
                </c:pt>
                <c:pt idx="1">
                  <c:v>6.3</c:v>
                </c:pt>
                <c:pt idx="2">
                  <c:v>6.21</c:v>
                </c:pt>
                <c:pt idx="3">
                  <c:v>5.55</c:v>
                </c:pt>
                <c:pt idx="4">
                  <c:v>6.38</c:v>
                </c:pt>
                <c:pt idx="5">
                  <c:v>6.4770000000000003</c:v>
                </c:pt>
                <c:pt idx="6">
                  <c:v>6.556</c:v>
                </c:pt>
                <c:pt idx="7">
                  <c:v>3.3119999999999998</c:v>
                </c:pt>
                <c:pt idx="8">
                  <c:v>6.423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9-46AE-B221-5EABDF695EF8}"/>
            </c:ext>
          </c:extLst>
        </c:ser>
        <c:ser>
          <c:idx val="1"/>
          <c:order val="1"/>
          <c:tx>
            <c:strRef>
              <c:f>Filosofía!$G$1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Filosofía!$D$2:$D$10</c:f>
              <c:strCache>
                <c:ptCount val="9"/>
                <c:pt idx="0">
                  <c:v>24-25(28)</c:v>
                </c:pt>
                <c:pt idx="1">
                  <c:v>23-24(27)</c:v>
                </c:pt>
                <c:pt idx="2">
                  <c:v>22-23(7)</c:v>
                </c:pt>
                <c:pt idx="3">
                  <c:v>21-22(14)</c:v>
                </c:pt>
                <c:pt idx="4">
                  <c:v>20-21(4)</c:v>
                </c:pt>
                <c:pt idx="5">
                  <c:v>19-20(11)</c:v>
                </c:pt>
                <c:pt idx="6">
                  <c:v>18-19(10)</c:v>
                </c:pt>
                <c:pt idx="7">
                  <c:v>17-18(4)</c:v>
                </c:pt>
                <c:pt idx="8">
                  <c:v>16-17(13)</c:v>
                </c:pt>
              </c:strCache>
            </c:strRef>
          </c:cat>
          <c:val>
            <c:numRef>
              <c:f>Filosofía!$G$2:$G$10</c:f>
              <c:numCache>
                <c:formatCode>General</c:formatCode>
                <c:ptCount val="9"/>
                <c:pt idx="0">
                  <c:v>7.41</c:v>
                </c:pt>
                <c:pt idx="1">
                  <c:v>7.22</c:v>
                </c:pt>
                <c:pt idx="2">
                  <c:v>7.32</c:v>
                </c:pt>
                <c:pt idx="3">
                  <c:v>6.89</c:v>
                </c:pt>
                <c:pt idx="4">
                  <c:v>6.83</c:v>
                </c:pt>
                <c:pt idx="5">
                  <c:v>8.5</c:v>
                </c:pt>
                <c:pt idx="6">
                  <c:v>7.14</c:v>
                </c:pt>
                <c:pt idx="7">
                  <c:v>6.13</c:v>
                </c:pt>
                <c:pt idx="8">
                  <c:v>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9-46AE-B221-5EABDF69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372400"/>
        <c:axId val="2030649753"/>
      </c:areaChart>
      <c:catAx>
        <c:axId val="192137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30649753"/>
        <c:crosses val="autoZero"/>
        <c:auto val="1"/>
        <c:lblAlgn val="ctr"/>
        <c:lblOffset val="100"/>
        <c:noMultiLvlLbl val="1"/>
      </c:catAx>
      <c:valAx>
        <c:axId val="203064975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213724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Historia del Arte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'Historia del Arte'!$E$1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Arte'!$E$2:$E$10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0.83330000000000004</c:v>
                </c:pt>
                <c:pt idx="4">
                  <c:v>1</c:v>
                </c:pt>
                <c:pt idx="5">
                  <c:v>0.83330000000000004</c:v>
                </c:pt>
                <c:pt idx="6">
                  <c:v>0.66669999999999996</c:v>
                </c:pt>
                <c:pt idx="7">
                  <c:v>0.83330000000000004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0-4EB1-A5AF-D60FD1EAC44B}"/>
            </c:ext>
          </c:extLst>
        </c:ser>
        <c:ser>
          <c:idx val="1"/>
          <c:order val="1"/>
          <c:tx>
            <c:strRef>
              <c:f>'Historia del Arte'!$H$1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Arte'!$H$2:$H$10</c:f>
              <c:numCache>
                <c:formatCode>0.00%</c:formatCode>
                <c:ptCount val="9"/>
                <c:pt idx="0">
                  <c:v>0.63239999999999996</c:v>
                </c:pt>
                <c:pt idx="1">
                  <c:v>0</c:v>
                </c:pt>
                <c:pt idx="2">
                  <c:v>0.61539999999999995</c:v>
                </c:pt>
                <c:pt idx="3">
                  <c:v>0.7964</c:v>
                </c:pt>
                <c:pt idx="4">
                  <c:v>0.74850000000000005</c:v>
                </c:pt>
                <c:pt idx="5">
                  <c:v>0.61329999999999996</c:v>
                </c:pt>
                <c:pt idx="6">
                  <c:v>0.76490000000000002</c:v>
                </c:pt>
                <c:pt idx="7">
                  <c:v>0.76639999999999997</c:v>
                </c:pt>
                <c:pt idx="8">
                  <c:v>0.71009999999999995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0-4EB1-A5AF-D60FD1EAC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67726"/>
        <c:axId val="1184191676"/>
      </c:areaChart>
      <c:catAx>
        <c:axId val="2101967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84191676"/>
        <c:crosses val="autoZero"/>
        <c:auto val="1"/>
        <c:lblAlgn val="ctr"/>
        <c:lblOffset val="100"/>
        <c:noMultiLvlLbl val="1"/>
      </c:catAx>
      <c:valAx>
        <c:axId val="118419167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019677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 del Arte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'Historia del Arte'!$F$1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Arte'!$F$2:$F$10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4.75</c:v>
                </c:pt>
                <c:pt idx="3">
                  <c:v>6.79</c:v>
                </c:pt>
                <c:pt idx="4">
                  <c:v>7.5</c:v>
                </c:pt>
                <c:pt idx="5">
                  <c:v>7.25</c:v>
                </c:pt>
                <c:pt idx="6">
                  <c:v>6.25</c:v>
                </c:pt>
                <c:pt idx="7">
                  <c:v>6.5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5-4FA9-85A0-21F002717BD7}"/>
            </c:ext>
          </c:extLst>
        </c:ser>
        <c:ser>
          <c:idx val="1"/>
          <c:order val="1"/>
          <c:tx>
            <c:strRef>
              <c:f>'Historia del Arte'!$I$1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Arte'!$I$2:$I$10</c:f>
              <c:numCache>
                <c:formatCode>General</c:formatCode>
                <c:ptCount val="9"/>
                <c:pt idx="0">
                  <c:v>5.58</c:v>
                </c:pt>
                <c:pt idx="1">
                  <c:v>0</c:v>
                </c:pt>
                <c:pt idx="2">
                  <c:v>5.66</c:v>
                </c:pt>
                <c:pt idx="3">
                  <c:v>6.44</c:v>
                </c:pt>
                <c:pt idx="4">
                  <c:v>6.39</c:v>
                </c:pt>
                <c:pt idx="5">
                  <c:v>5.5209999999999999</c:v>
                </c:pt>
                <c:pt idx="6">
                  <c:v>6.181</c:v>
                </c:pt>
                <c:pt idx="7">
                  <c:v>6.298</c:v>
                </c:pt>
                <c:pt idx="8">
                  <c:v>5.6859999999999999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5-4FA9-85A0-21F00271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711007"/>
        <c:axId val="1375803746"/>
      </c:areaChart>
      <c:catAx>
        <c:axId val="69071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75803746"/>
        <c:crosses val="autoZero"/>
        <c:auto val="1"/>
        <c:lblAlgn val="ctr"/>
        <c:lblOffset val="100"/>
        <c:noMultiLvlLbl val="1"/>
      </c:catAx>
      <c:valAx>
        <c:axId val="137580374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907110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Historia del Arte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'Historia del Arte'!$F$1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Arte'!$F$2:$F$10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4.75</c:v>
                </c:pt>
                <c:pt idx="3">
                  <c:v>6.79</c:v>
                </c:pt>
                <c:pt idx="4">
                  <c:v>7.5</c:v>
                </c:pt>
                <c:pt idx="5">
                  <c:v>7.25</c:v>
                </c:pt>
                <c:pt idx="6">
                  <c:v>6.25</c:v>
                </c:pt>
                <c:pt idx="7">
                  <c:v>6.5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E-44C9-9CA6-BA5D137B7ADB}"/>
            </c:ext>
          </c:extLst>
        </c:ser>
        <c:ser>
          <c:idx val="1"/>
          <c:order val="1"/>
          <c:tx>
            <c:strRef>
              <c:f>'Historia del Arte'!$G$1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'Historia del Arte'!$D$2:$D$10</c:f>
              <c:strCache>
                <c:ptCount val="9"/>
                <c:pt idx="0">
                  <c:v>24-25(0)</c:v>
                </c:pt>
                <c:pt idx="1">
                  <c:v>23-24(0)</c:v>
                </c:pt>
                <c:pt idx="2">
                  <c:v>22-23(5)</c:v>
                </c:pt>
                <c:pt idx="3">
                  <c:v>21-22(6)</c:v>
                </c:pt>
                <c:pt idx="4">
                  <c:v>20-21(3)</c:v>
                </c:pt>
                <c:pt idx="5">
                  <c:v>19-20(6)</c:v>
                </c:pt>
                <c:pt idx="6">
                  <c:v>18-19(4)</c:v>
                </c:pt>
                <c:pt idx="7">
                  <c:v>17-18(6)</c:v>
                </c:pt>
                <c:pt idx="8">
                  <c:v>16-17(0)</c:v>
                </c:pt>
              </c:strCache>
            </c:strRef>
          </c:cat>
          <c:val>
            <c:numRef>
              <c:f>'Historia del Arte'!$G$2:$G$10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7.07</c:v>
                </c:pt>
                <c:pt idx="3">
                  <c:v>7</c:v>
                </c:pt>
                <c:pt idx="4">
                  <c:v>7.5</c:v>
                </c:pt>
                <c:pt idx="5">
                  <c:v>7.63</c:v>
                </c:pt>
                <c:pt idx="6">
                  <c:v>6.2</c:v>
                </c:pt>
                <c:pt idx="7">
                  <c:v>7.13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E-44C9-9CA6-BA5D137B7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629505"/>
        <c:axId val="980637333"/>
      </c:areaChart>
      <c:catAx>
        <c:axId val="1448629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80637333"/>
        <c:crosses val="autoZero"/>
        <c:auto val="1"/>
        <c:lblAlgn val="ctr"/>
        <c:lblOffset val="100"/>
        <c:noMultiLvlLbl val="1"/>
      </c:catAx>
      <c:valAx>
        <c:axId val="98063733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486295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Geografía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Geografía!$E$1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Geografía!$E$2:$E$11</c:f>
              <c:numCache>
                <c:formatCode>0.00%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0.33329999999999999</c:v>
                </c:pt>
                <c:pt idx="4">
                  <c:v>0.8</c:v>
                </c:pt>
                <c:pt idx="5">
                  <c:v>0.5</c:v>
                </c:pt>
                <c:pt idx="6">
                  <c:v>0.5</c:v>
                </c:pt>
                <c:pt idx="7">
                  <c:v>0.375</c:v>
                </c:pt>
                <c:pt idx="8">
                  <c:v>0.66669999999999996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3-407B-B599-2A668902FFB8}"/>
            </c:ext>
          </c:extLst>
        </c:ser>
        <c:ser>
          <c:idx val="1"/>
          <c:order val="1"/>
          <c:tx>
            <c:strRef>
              <c:f>Geografía!$H$1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Geografía!$H$2:$H$11</c:f>
              <c:numCache>
                <c:formatCode>0.00%</c:formatCode>
                <c:ptCount val="10"/>
                <c:pt idx="0">
                  <c:v>0.745</c:v>
                </c:pt>
                <c:pt idx="1">
                  <c:v>0.82879999999999998</c:v>
                </c:pt>
                <c:pt idx="2">
                  <c:v>0.86119999999999997</c:v>
                </c:pt>
                <c:pt idx="3">
                  <c:v>0.66759999999999997</c:v>
                </c:pt>
                <c:pt idx="4">
                  <c:v>0.83899999999999997</c:v>
                </c:pt>
                <c:pt idx="5">
                  <c:v>0.69359999999999999</c:v>
                </c:pt>
                <c:pt idx="6">
                  <c:v>0.54269999999999996</c:v>
                </c:pt>
                <c:pt idx="7">
                  <c:v>0.68030000000000002</c:v>
                </c:pt>
                <c:pt idx="8">
                  <c:v>0.74480000000000002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3-407B-B599-2A668902F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97705"/>
        <c:axId val="1018267801"/>
      </c:areaChart>
      <c:catAx>
        <c:axId val="777397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18267801"/>
        <c:crosses val="autoZero"/>
        <c:auto val="1"/>
        <c:lblAlgn val="ctr"/>
        <c:lblOffset val="100"/>
        <c:noMultiLvlLbl val="1"/>
      </c:catAx>
      <c:valAx>
        <c:axId val="101826780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773977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Geografía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Geografía!$F$1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Geografía!$F$2:$F$11</c:f>
              <c:numCache>
                <c:formatCode>General</c:formatCode>
                <c:ptCount val="10"/>
                <c:pt idx="0">
                  <c:v>4.88</c:v>
                </c:pt>
                <c:pt idx="1">
                  <c:v>8.25</c:v>
                </c:pt>
                <c:pt idx="2">
                  <c:v>7.25</c:v>
                </c:pt>
                <c:pt idx="3">
                  <c:v>4.33</c:v>
                </c:pt>
                <c:pt idx="4">
                  <c:v>7.15</c:v>
                </c:pt>
                <c:pt idx="5">
                  <c:v>4.6500000000000004</c:v>
                </c:pt>
                <c:pt idx="6">
                  <c:v>4.375</c:v>
                </c:pt>
                <c:pt idx="7">
                  <c:v>4.75</c:v>
                </c:pt>
                <c:pt idx="8">
                  <c:v>5.5830000000000002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4-409A-B913-F6820B281586}"/>
            </c:ext>
          </c:extLst>
        </c:ser>
        <c:ser>
          <c:idx val="1"/>
          <c:order val="1"/>
          <c:tx>
            <c:strRef>
              <c:f>Geografía!$I$1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Geografía!$I$2:$I$11</c:f>
              <c:numCache>
                <c:formatCode>General</c:formatCode>
                <c:ptCount val="10"/>
                <c:pt idx="0">
                  <c:v>6.23</c:v>
                </c:pt>
                <c:pt idx="1">
                  <c:v>6.36</c:v>
                </c:pt>
                <c:pt idx="2">
                  <c:v>6.63</c:v>
                </c:pt>
                <c:pt idx="3">
                  <c:v>5.69</c:v>
                </c:pt>
                <c:pt idx="4">
                  <c:v>6.4</c:v>
                </c:pt>
                <c:pt idx="5">
                  <c:v>5.7060000000000004</c:v>
                </c:pt>
                <c:pt idx="6">
                  <c:v>4.8579999999999997</c:v>
                </c:pt>
                <c:pt idx="7">
                  <c:v>5.5279999999999996</c:v>
                </c:pt>
                <c:pt idx="8">
                  <c:v>6.016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4-409A-B913-F6820B281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84150"/>
        <c:axId val="74840435"/>
      </c:areaChart>
      <c:catAx>
        <c:axId val="2142984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840435"/>
        <c:crosses val="autoZero"/>
        <c:auto val="1"/>
        <c:lblAlgn val="ctr"/>
        <c:lblOffset val="100"/>
        <c:noMultiLvlLbl val="1"/>
      </c:catAx>
      <c:valAx>
        <c:axId val="7484043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429841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Geografía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Geografía!$F$1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Geografía!$F$2:$F$11</c:f>
              <c:numCache>
                <c:formatCode>General</c:formatCode>
                <c:ptCount val="10"/>
                <c:pt idx="0">
                  <c:v>4.88</c:v>
                </c:pt>
                <c:pt idx="1">
                  <c:v>8.25</c:v>
                </c:pt>
                <c:pt idx="2">
                  <c:v>7.25</c:v>
                </c:pt>
                <c:pt idx="3">
                  <c:v>4.33</c:v>
                </c:pt>
                <c:pt idx="4">
                  <c:v>7.15</c:v>
                </c:pt>
                <c:pt idx="5">
                  <c:v>4.6500000000000004</c:v>
                </c:pt>
                <c:pt idx="6">
                  <c:v>4.375</c:v>
                </c:pt>
                <c:pt idx="7">
                  <c:v>4.75</c:v>
                </c:pt>
                <c:pt idx="8">
                  <c:v>5.5830000000000002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8-41B5-9527-33BFF1B59A96}"/>
            </c:ext>
          </c:extLst>
        </c:ser>
        <c:ser>
          <c:idx val="1"/>
          <c:order val="1"/>
          <c:tx>
            <c:strRef>
              <c:f>Geografía!$G$1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Geografía!$D$2:$D$11</c:f>
              <c:strCache>
                <c:ptCount val="9"/>
                <c:pt idx="0">
                  <c:v>24-25(2)</c:v>
                </c:pt>
                <c:pt idx="1">
                  <c:v>23-24(1)</c:v>
                </c:pt>
                <c:pt idx="2">
                  <c:v>22-23(1)</c:v>
                </c:pt>
                <c:pt idx="3">
                  <c:v>21-22(3)</c:v>
                </c:pt>
                <c:pt idx="4">
                  <c:v>20-21(5)</c:v>
                </c:pt>
                <c:pt idx="5">
                  <c:v>19-20(10)</c:v>
                </c:pt>
                <c:pt idx="6">
                  <c:v>18-19(12)</c:v>
                </c:pt>
                <c:pt idx="7">
                  <c:v>17-18(8)</c:v>
                </c:pt>
                <c:pt idx="8">
                  <c:v>16-17(3)</c:v>
                </c:pt>
              </c:strCache>
            </c:strRef>
          </c:cat>
          <c:val>
            <c:numRef>
              <c:f>Geografía!$G$2:$G$10</c:f>
              <c:numCache>
                <c:formatCode>General</c:formatCode>
                <c:ptCount val="9"/>
                <c:pt idx="0">
                  <c:v>7.14</c:v>
                </c:pt>
                <c:pt idx="1">
                  <c:v>6.44</c:v>
                </c:pt>
                <c:pt idx="2">
                  <c:v>8</c:v>
                </c:pt>
                <c:pt idx="3">
                  <c:v>6.8</c:v>
                </c:pt>
                <c:pt idx="4">
                  <c:v>7.06</c:v>
                </c:pt>
                <c:pt idx="5">
                  <c:v>8.33</c:v>
                </c:pt>
                <c:pt idx="6">
                  <c:v>6.33</c:v>
                </c:pt>
                <c:pt idx="7">
                  <c:v>6.94</c:v>
                </c:pt>
                <c:pt idx="8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8-41B5-9527-33BFF1B59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090872"/>
        <c:axId val="321361168"/>
      </c:areaChart>
      <c:catAx>
        <c:axId val="1272090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21361168"/>
        <c:crosses val="autoZero"/>
        <c:auto val="1"/>
        <c:lblAlgn val="ctr"/>
        <c:lblOffset val="100"/>
        <c:noMultiLvlLbl val="1"/>
      </c:catAx>
      <c:valAx>
        <c:axId val="32136116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7209087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Francés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Francés!$E$1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Francés!$E$2:$E$13</c:f>
              <c:numCache>
                <c:formatCode>0.00%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 formatCode="General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8-46E4-A2DB-0CCCD6D526CD}"/>
            </c:ext>
          </c:extLst>
        </c:ser>
        <c:ser>
          <c:idx val="1"/>
          <c:order val="1"/>
          <c:tx>
            <c:strRef>
              <c:f>Francés!$H$1</c:f>
              <c:strCache>
                <c:ptCount val="1"/>
                <c:pt idx="0">
                  <c:v>%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Francés!$H$2:$H$13</c:f>
              <c:numCache>
                <c:formatCode>0.00%</c:formatCode>
                <c:ptCount val="12"/>
                <c:pt idx="1">
                  <c:v>0</c:v>
                </c:pt>
                <c:pt idx="2">
                  <c:v>0.7802</c:v>
                </c:pt>
                <c:pt idx="3">
                  <c:v>0.70589999999999997</c:v>
                </c:pt>
                <c:pt idx="4">
                  <c:v>0.7903</c:v>
                </c:pt>
                <c:pt idx="5">
                  <c:v>0.89470000000000005</c:v>
                </c:pt>
                <c:pt idx="6">
                  <c:v>0.90429999999999999</c:v>
                </c:pt>
                <c:pt idx="7">
                  <c:v>0.9032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8-46E4-A2DB-0CCCD6D52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134371"/>
        <c:axId val="1408794109"/>
      </c:areaChart>
      <c:catAx>
        <c:axId val="358134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08794109"/>
        <c:crosses val="autoZero"/>
        <c:auto val="1"/>
        <c:lblAlgn val="ctr"/>
        <c:lblOffset val="100"/>
        <c:noMultiLvlLbl val="1"/>
      </c:catAx>
      <c:valAx>
        <c:axId val="140879410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581343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Francés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Francés!$F$1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Francés!$F$2:$F$13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4.5</c:v>
                </c:pt>
                <c:pt idx="4">
                  <c:v>7.25</c:v>
                </c:pt>
                <c:pt idx="5">
                  <c:v>9.625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2-490C-AF1A-7C8A3BFA1B07}"/>
            </c:ext>
          </c:extLst>
        </c:ser>
        <c:ser>
          <c:idx val="1"/>
          <c:order val="1"/>
          <c:tx>
            <c:strRef>
              <c:f>Francés!$I$1</c:f>
              <c:strCache>
                <c:ptCount val="1"/>
                <c:pt idx="0">
                  <c:v>NM UC3M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Francés!$I$2:$I$13</c:f>
              <c:numCache>
                <c:formatCode>General</c:formatCode>
                <c:ptCount val="12"/>
                <c:pt idx="1">
                  <c:v>0</c:v>
                </c:pt>
                <c:pt idx="2">
                  <c:v>5.94</c:v>
                </c:pt>
                <c:pt idx="3">
                  <c:v>6.83</c:v>
                </c:pt>
                <c:pt idx="4">
                  <c:v>6.62</c:v>
                </c:pt>
                <c:pt idx="5">
                  <c:v>7.2220000000000004</c:v>
                </c:pt>
                <c:pt idx="6">
                  <c:v>6.968</c:v>
                </c:pt>
                <c:pt idx="7">
                  <c:v>7.0510000000000002</c:v>
                </c:pt>
                <c:pt idx="8">
                  <c:v>7.3529999999999998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2-490C-AF1A-7C8A3BFA1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79911"/>
        <c:axId val="804198473"/>
      </c:areaChart>
      <c:catAx>
        <c:axId val="131579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04198473"/>
        <c:crosses val="autoZero"/>
        <c:auto val="1"/>
        <c:lblAlgn val="ctr"/>
        <c:lblOffset val="100"/>
        <c:noMultiLvlLbl val="1"/>
      </c:catAx>
      <c:valAx>
        <c:axId val="80419847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15799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Francés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Francés!$F$1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Francés!$F$2:$F$13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4.5</c:v>
                </c:pt>
                <c:pt idx="4">
                  <c:v>7.25</c:v>
                </c:pt>
                <c:pt idx="5">
                  <c:v>9.625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0-4377-9F63-FC902B85BC9A}"/>
            </c:ext>
          </c:extLst>
        </c:ser>
        <c:ser>
          <c:idx val="1"/>
          <c:order val="1"/>
          <c:tx>
            <c:strRef>
              <c:f>Francés!$G$1</c:f>
              <c:strCache>
                <c:ptCount val="1"/>
                <c:pt idx="0">
                  <c:v>NM LSG Cole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Francés!$D$2:$D$13</c:f>
              <c:strCache>
                <c:ptCount val="9"/>
                <c:pt idx="1">
                  <c:v>23-24(0)</c:v>
                </c:pt>
                <c:pt idx="2">
                  <c:v>22-23(0)</c:v>
                </c:pt>
                <c:pt idx="3">
                  <c:v>21-22(2)</c:v>
                </c:pt>
                <c:pt idx="4">
                  <c:v>20-21(1)</c:v>
                </c:pt>
                <c:pt idx="5">
                  <c:v>19-20(2)</c:v>
                </c:pt>
                <c:pt idx="6">
                  <c:v>18-19(0)</c:v>
                </c:pt>
                <c:pt idx="7">
                  <c:v>17-18(0)</c:v>
                </c:pt>
                <c:pt idx="8">
                  <c:v>16-17(0)</c:v>
                </c:pt>
              </c:strCache>
            </c:strRef>
          </c:cat>
          <c:val>
            <c:numRef>
              <c:f>Francés!$G$2:$G$10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8.83</c:v>
                </c:pt>
                <c:pt idx="4">
                  <c:v>8.25</c:v>
                </c:pt>
                <c:pt idx="5">
                  <c:v>9.67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0-4377-9F63-FC902B8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365196"/>
        <c:axId val="2139318392"/>
      </c:areaChart>
      <c:catAx>
        <c:axId val="1436365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39318392"/>
        <c:crosses val="autoZero"/>
        <c:auto val="1"/>
        <c:lblAlgn val="ctr"/>
        <c:lblOffset val="100"/>
        <c:noMultiLvlLbl val="1"/>
      </c:catAx>
      <c:valAx>
        <c:axId val="213931839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363651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Aprobados Tecno e Ing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'Tecno e Ing'!$E$1</c:f>
              <c:strCache>
                <c:ptCount val="1"/>
                <c:pt idx="0">
                  <c:v>% LSG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'Tecno e Ing'!$D$2:$D$13</c:f>
              <c:strCache>
                <c:ptCount val="1"/>
                <c:pt idx="0">
                  <c:v>24-25(0)</c:v>
                </c:pt>
              </c:strCache>
            </c:strRef>
          </c:cat>
          <c:val>
            <c:numRef>
              <c:f>'Tecno e Ing'!$E$2:$E$13</c:f>
              <c:numCache>
                <c:formatCode>General</c:formatCode>
                <c:ptCount val="12"/>
                <c:pt idx="0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6-4D1B-BC4D-DBCB2725E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981380"/>
        <c:axId val="1290460424"/>
      </c:areaChart>
      <c:catAx>
        <c:axId val="1404981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90460424"/>
        <c:crosses val="autoZero"/>
        <c:auto val="1"/>
        <c:lblAlgn val="ctr"/>
        <c:lblOffset val="100"/>
        <c:noMultiLvlLbl val="1"/>
      </c:catAx>
      <c:valAx>
        <c:axId val="12904604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0498138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Tecno e Ing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'Tecno e Ing'!$F$1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'Tecno e Ing'!$D$2:$D$13</c:f>
              <c:strCache>
                <c:ptCount val="1"/>
                <c:pt idx="0">
                  <c:v>24-25(0)</c:v>
                </c:pt>
              </c:strCache>
            </c:strRef>
          </c:cat>
          <c:val>
            <c:numRef>
              <c:f>'Tecno e Ing'!$F$2:$F$13</c:f>
              <c:numCache>
                <c:formatCode>General</c:formatCode>
                <c:ptCount val="1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1-4FDF-A069-9D2F71E8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991214"/>
        <c:axId val="1540458825"/>
      </c:areaChart>
      <c:catAx>
        <c:axId val="1255991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40458825"/>
        <c:crosses val="autoZero"/>
        <c:auto val="1"/>
        <c:lblAlgn val="ctr"/>
        <c:lblOffset val="100"/>
        <c:noMultiLvlLbl val="1"/>
      </c:catAx>
      <c:valAx>
        <c:axId val="154045882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5599121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 Media Tecno e Ing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'Tecno e Ing'!$F$1</c:f>
              <c:strCache>
                <c:ptCount val="1"/>
                <c:pt idx="0">
                  <c:v>NM LSG EvAU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'Tecno e Ing'!$D$2:$D$13</c:f>
              <c:strCache>
                <c:ptCount val="1"/>
                <c:pt idx="0">
                  <c:v>24-25(0)</c:v>
                </c:pt>
              </c:strCache>
            </c:strRef>
          </c:cat>
          <c:val>
            <c:numRef>
              <c:f>'Tecno e Ing'!$F$2:$F$13</c:f>
              <c:numCache>
                <c:formatCode>General</c:formatCode>
                <c:ptCount val="1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9-490F-A5C5-BDA8808E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543987"/>
        <c:axId val="2136722278"/>
      </c:areaChart>
      <c:catAx>
        <c:axId val="1566543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36722278"/>
        <c:crosses val="autoZero"/>
        <c:auto val="1"/>
        <c:lblAlgn val="ctr"/>
        <c:lblOffset val="100"/>
        <c:noMultiLvlLbl val="1"/>
      </c:catAx>
      <c:valAx>
        <c:axId val="2136722278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665439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image" Target="../media/image1.png"/><Relationship Id="rId26" Type="http://schemas.openxmlformats.org/officeDocument/2006/relationships/image" Target="../media/image7.png"/><Relationship Id="rId3" Type="http://schemas.openxmlformats.org/officeDocument/2006/relationships/chart" Target="../charts/chart3.xml"/><Relationship Id="rId21" Type="http://schemas.openxmlformats.org/officeDocument/2006/relationships/image" Target="../media/image3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6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19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image" Target="../media/image5.png"/><Relationship Id="rId10" Type="http://schemas.openxmlformats.org/officeDocument/2006/relationships/chart" Target="../charts/chart10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image" Target="../media/image4.png"/><Relationship Id="rId27" Type="http://schemas.openxmlformats.org/officeDocument/2006/relationships/chart" Target="../charts/chart20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95</xdr:row>
      <xdr:rowOff>171450</xdr:rowOff>
    </xdr:from>
    <xdr:ext cx="4486275" cy="37623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133350</xdr:colOff>
      <xdr:row>115</xdr:row>
      <xdr:rowOff>9525</xdr:rowOff>
    </xdr:from>
    <xdr:ext cx="4486275" cy="36957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152400</xdr:colOff>
      <xdr:row>133</xdr:row>
      <xdr:rowOff>161925</xdr:rowOff>
    </xdr:from>
    <xdr:ext cx="4486275" cy="37623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152400</xdr:colOff>
      <xdr:row>152</xdr:row>
      <xdr:rowOff>180975</xdr:rowOff>
    </xdr:from>
    <xdr:ext cx="4486275" cy="37623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35</xdr:col>
      <xdr:colOff>180975</xdr:colOff>
      <xdr:row>95</xdr:row>
      <xdr:rowOff>171450</xdr:rowOff>
    </xdr:from>
    <xdr:ext cx="4486275" cy="3762375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35</xdr:col>
      <xdr:colOff>180975</xdr:colOff>
      <xdr:row>115</xdr:row>
      <xdr:rowOff>9525</xdr:rowOff>
    </xdr:from>
    <xdr:ext cx="4486275" cy="3695700"/>
    <xdr:graphicFrame macro="">
      <xdr:nvGraphicFramePr>
        <xdr:cNvPr id="7" name="Chart 6" title="Gráf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35</xdr:col>
      <xdr:colOff>171450</xdr:colOff>
      <xdr:row>133</xdr:row>
      <xdr:rowOff>161925</xdr:rowOff>
    </xdr:from>
    <xdr:ext cx="4486275" cy="3762375"/>
    <xdr:graphicFrame macro="">
      <xdr:nvGraphicFramePr>
        <xdr:cNvPr id="8" name="Chart 7" title="Gráfic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35</xdr:col>
      <xdr:colOff>171450</xdr:colOff>
      <xdr:row>152</xdr:row>
      <xdr:rowOff>190500</xdr:rowOff>
    </xdr:from>
    <xdr:ext cx="4486275" cy="3762375"/>
    <xdr:graphicFrame macro="">
      <xdr:nvGraphicFramePr>
        <xdr:cNvPr id="9" name="Chart 8" title="Gráfic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22</xdr:col>
      <xdr:colOff>152400</xdr:colOff>
      <xdr:row>77</xdr:row>
      <xdr:rowOff>19050</xdr:rowOff>
    </xdr:from>
    <xdr:ext cx="4486275" cy="3762375"/>
    <xdr:graphicFrame macro="">
      <xdr:nvGraphicFramePr>
        <xdr:cNvPr id="10" name="Chart 9" title="Gráfic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35</xdr:col>
      <xdr:colOff>190500</xdr:colOff>
      <xdr:row>77</xdr:row>
      <xdr:rowOff>19050</xdr:rowOff>
    </xdr:from>
    <xdr:ext cx="4486275" cy="3762375"/>
    <xdr:graphicFrame macro="">
      <xdr:nvGraphicFramePr>
        <xdr:cNvPr id="11" name="Chart 10" title="Gráfic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22</xdr:col>
      <xdr:colOff>152400</xdr:colOff>
      <xdr:row>59</xdr:row>
      <xdr:rowOff>0</xdr:rowOff>
    </xdr:from>
    <xdr:ext cx="4486275" cy="3762375"/>
    <xdr:graphicFrame macro="">
      <xdr:nvGraphicFramePr>
        <xdr:cNvPr id="12" name="Chart 11" title="Gráfic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35</xdr:col>
      <xdr:colOff>180975</xdr:colOff>
      <xdr:row>59</xdr:row>
      <xdr:rowOff>0</xdr:rowOff>
    </xdr:from>
    <xdr:ext cx="4486275" cy="3762375"/>
    <xdr:graphicFrame macro="">
      <xdr:nvGraphicFramePr>
        <xdr:cNvPr id="13" name="Chart 12" title="Gráfic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8</xdr:col>
      <xdr:colOff>371475</xdr:colOff>
      <xdr:row>171</xdr:row>
      <xdr:rowOff>180975</xdr:rowOff>
    </xdr:from>
    <xdr:ext cx="4533900" cy="3762375"/>
    <xdr:graphicFrame macro="">
      <xdr:nvGraphicFramePr>
        <xdr:cNvPr id="14" name="Chart 13" title="Gráfic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8</xdr:col>
      <xdr:colOff>371475</xdr:colOff>
      <xdr:row>152</xdr:row>
      <xdr:rowOff>161925</xdr:rowOff>
    </xdr:from>
    <xdr:ext cx="4533900" cy="3762375"/>
    <xdr:graphicFrame macro="">
      <xdr:nvGraphicFramePr>
        <xdr:cNvPr id="15" name="Chart 14" title="Gráfic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8</xdr:col>
      <xdr:colOff>371475</xdr:colOff>
      <xdr:row>134</xdr:row>
      <xdr:rowOff>9525</xdr:rowOff>
    </xdr:from>
    <xdr:ext cx="4533900" cy="3695700"/>
    <xdr:graphicFrame macro="">
      <xdr:nvGraphicFramePr>
        <xdr:cNvPr id="16" name="Chart 15" title="Gráfic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8</xdr:col>
      <xdr:colOff>371475</xdr:colOff>
      <xdr:row>114</xdr:row>
      <xdr:rowOff>171450</xdr:rowOff>
    </xdr:from>
    <xdr:ext cx="4533900" cy="3762375"/>
    <xdr:graphicFrame macro="">
      <xdr:nvGraphicFramePr>
        <xdr:cNvPr id="17" name="Chart 16" title="Gráfic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8</xdr:col>
      <xdr:colOff>371475</xdr:colOff>
      <xdr:row>96</xdr:row>
      <xdr:rowOff>19050</xdr:rowOff>
    </xdr:from>
    <xdr:ext cx="4533900" cy="3762375"/>
    <xdr:graphicFrame macro="">
      <xdr:nvGraphicFramePr>
        <xdr:cNvPr id="18" name="Chart 17" title="Gráfic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8</xdr:col>
      <xdr:colOff>371475</xdr:colOff>
      <xdr:row>78</xdr:row>
      <xdr:rowOff>0</xdr:rowOff>
    </xdr:from>
    <xdr:ext cx="4533900" cy="3762375"/>
    <xdr:pic>
      <xdr:nvPicPr>
        <xdr:cNvPr id="967231484" name="Chart18" title="Gráfico">
          <a:extLst>
            <a:ext uri="{FF2B5EF4-FFF2-40B4-BE49-F238E27FC236}">
              <a16:creationId xmlns:a16="http://schemas.microsoft.com/office/drawing/2014/main" id="{00000000-0008-0000-0000-0000FCC7A63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238125</xdr:colOff>
      <xdr:row>40</xdr:row>
      <xdr:rowOff>0</xdr:rowOff>
    </xdr:from>
    <xdr:ext cx="4486275" cy="3762375"/>
    <xdr:graphicFrame macro="">
      <xdr:nvGraphicFramePr>
        <xdr:cNvPr id="19" name="Chart 19" title="Gráfic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22</xdr:col>
      <xdr:colOff>209550</xdr:colOff>
      <xdr:row>40</xdr:row>
      <xdr:rowOff>0</xdr:rowOff>
    </xdr:from>
    <xdr:ext cx="4486275" cy="3762375"/>
    <xdr:pic>
      <xdr:nvPicPr>
        <xdr:cNvPr id="828294740" name="Chart20" title="Gráfico">
          <a:extLst>
            <a:ext uri="{FF2B5EF4-FFF2-40B4-BE49-F238E27FC236}">
              <a16:creationId xmlns:a16="http://schemas.microsoft.com/office/drawing/2014/main" id="{00000000-0008-0000-0000-000054C65E3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40</xdr:row>
      <xdr:rowOff>0</xdr:rowOff>
    </xdr:from>
    <xdr:ext cx="4533900" cy="3762375"/>
    <xdr:pic>
      <xdr:nvPicPr>
        <xdr:cNvPr id="14155645" name="Chart21" title="Gráfico">
          <a:extLst>
            <a:ext uri="{FF2B5EF4-FFF2-40B4-BE49-F238E27FC236}">
              <a16:creationId xmlns:a16="http://schemas.microsoft.com/office/drawing/2014/main" id="{00000000-0008-0000-0000-00007DFFD70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40</xdr:row>
      <xdr:rowOff>0</xdr:rowOff>
    </xdr:from>
    <xdr:ext cx="4533900" cy="3762375"/>
    <xdr:pic>
      <xdr:nvPicPr>
        <xdr:cNvPr id="1056224821" name="Chart22" title="Gráfico">
          <a:extLst>
            <a:ext uri="{FF2B5EF4-FFF2-40B4-BE49-F238E27FC236}">
              <a16:creationId xmlns:a16="http://schemas.microsoft.com/office/drawing/2014/main" id="{00000000-0008-0000-0000-000035B6F43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152400</xdr:colOff>
      <xdr:row>21</xdr:row>
      <xdr:rowOff>0</xdr:rowOff>
    </xdr:from>
    <xdr:ext cx="4486275" cy="3762375"/>
    <xdr:pic>
      <xdr:nvPicPr>
        <xdr:cNvPr id="1204669065" name="Chart23" title="Gráfico">
          <a:extLst>
            <a:ext uri="{FF2B5EF4-FFF2-40B4-BE49-F238E27FC236}">
              <a16:creationId xmlns:a16="http://schemas.microsoft.com/office/drawing/2014/main" id="{00000000-0008-0000-0000-000089CACD4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238125</xdr:colOff>
      <xdr:row>21</xdr:row>
      <xdr:rowOff>0</xdr:rowOff>
    </xdr:from>
    <xdr:ext cx="4486275" cy="3762375"/>
    <xdr:graphicFrame macro="">
      <xdr:nvGraphicFramePr>
        <xdr:cNvPr id="24" name="Chart 24" title="Gráfic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oneCellAnchor>
  <xdr:oneCellAnchor>
    <xdr:from>
      <xdr:col>8</xdr:col>
      <xdr:colOff>371475</xdr:colOff>
      <xdr:row>20</xdr:row>
      <xdr:rowOff>200025</xdr:rowOff>
    </xdr:from>
    <xdr:ext cx="4533900" cy="3762375"/>
    <xdr:pic>
      <xdr:nvPicPr>
        <xdr:cNvPr id="2140760641" name="Chart25" title="Gráfico">
          <a:extLst>
            <a:ext uri="{FF2B5EF4-FFF2-40B4-BE49-F238E27FC236}">
              <a16:creationId xmlns:a16="http://schemas.microsoft.com/office/drawing/2014/main" id="{00000000-0008-0000-0000-0000416A997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152400</xdr:colOff>
      <xdr:row>1</xdr:row>
      <xdr:rowOff>200025</xdr:rowOff>
    </xdr:from>
    <xdr:ext cx="4486275" cy="3762375"/>
    <xdr:pic>
      <xdr:nvPicPr>
        <xdr:cNvPr id="324785420" name="Chart26" title="Gráfico">
          <a:extLst>
            <a:ext uri="{FF2B5EF4-FFF2-40B4-BE49-F238E27FC236}">
              <a16:creationId xmlns:a16="http://schemas.microsoft.com/office/drawing/2014/main" id="{00000000-0008-0000-0000-00000CD55B1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228600</xdr:colOff>
      <xdr:row>1</xdr:row>
      <xdr:rowOff>200025</xdr:rowOff>
    </xdr:from>
    <xdr:ext cx="4486275" cy="3762375"/>
    <xdr:graphicFrame macro="">
      <xdr:nvGraphicFramePr>
        <xdr:cNvPr id="27" name="Chart 27" title="Gráfic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180975</xdr:rowOff>
    </xdr:from>
    <xdr:ext cx="15411450" cy="2085975"/>
    <xdr:graphicFrame macro="">
      <xdr:nvGraphicFramePr>
        <xdr:cNvPr id="28" name="Chart 28" title="Gráfic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22</xdr:row>
      <xdr:rowOff>171450</xdr:rowOff>
    </xdr:from>
    <xdr:ext cx="15411450" cy="2638425"/>
    <xdr:graphicFrame macro="">
      <xdr:nvGraphicFramePr>
        <xdr:cNvPr id="29" name="Chart 29" title="Gráfic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36</xdr:row>
      <xdr:rowOff>142875</xdr:rowOff>
    </xdr:from>
    <xdr:ext cx="15411450" cy="2590800"/>
    <xdr:graphicFrame macro="">
      <xdr:nvGraphicFramePr>
        <xdr:cNvPr id="30" name="Chart 30" title="Gráfic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50</xdr:row>
      <xdr:rowOff>76200</xdr:rowOff>
    </xdr:from>
    <xdr:ext cx="15411450" cy="2590800"/>
    <xdr:graphicFrame macro="">
      <xdr:nvGraphicFramePr>
        <xdr:cNvPr id="31" name="Chart 31" title="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63</xdr:row>
      <xdr:rowOff>190500</xdr:rowOff>
    </xdr:from>
    <xdr:ext cx="15411450" cy="2590800"/>
    <xdr:graphicFrame macro="">
      <xdr:nvGraphicFramePr>
        <xdr:cNvPr id="32" name="Chart 32" title="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4800600" cy="2962275"/>
    <xdr:graphicFrame macro="">
      <xdr:nvGraphicFramePr>
        <xdr:cNvPr id="33" name="Chart 33" title="Gráfic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0</xdr:row>
      <xdr:rowOff>0</xdr:rowOff>
    </xdr:from>
    <xdr:ext cx="4086225" cy="2524125"/>
    <xdr:graphicFrame macro="">
      <xdr:nvGraphicFramePr>
        <xdr:cNvPr id="34" name="Chart 34" title="Gráfico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228600</xdr:colOff>
      <xdr:row>0</xdr:row>
      <xdr:rowOff>0</xdr:rowOff>
    </xdr:from>
    <xdr:ext cx="4086225" cy="2524125"/>
    <xdr:graphicFrame macro="">
      <xdr:nvGraphicFramePr>
        <xdr:cNvPr id="35" name="Chart 35" title="Gráfico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304800</xdr:colOff>
      <xdr:row>11</xdr:row>
      <xdr:rowOff>114300</xdr:rowOff>
    </xdr:from>
    <xdr:ext cx="4086225" cy="2524125"/>
    <xdr:graphicFrame macro="">
      <xdr:nvGraphicFramePr>
        <xdr:cNvPr id="36" name="Chart 36" title="Gráfico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295775" cy="2657475"/>
    <xdr:graphicFrame macro="">
      <xdr:nvGraphicFramePr>
        <xdr:cNvPr id="37" name="Chart 37" title="Gráfico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438150</xdr:colOff>
      <xdr:row>0</xdr:row>
      <xdr:rowOff>19050</xdr:rowOff>
    </xdr:from>
    <xdr:ext cx="4295775" cy="2657475"/>
    <xdr:graphicFrame macro="">
      <xdr:nvGraphicFramePr>
        <xdr:cNvPr id="38" name="Chart 38" title="Gráfico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15</xdr:row>
      <xdr:rowOff>66675</xdr:rowOff>
    </xdr:from>
    <xdr:ext cx="4295775" cy="2657475"/>
    <xdr:graphicFrame macro="">
      <xdr:nvGraphicFramePr>
        <xdr:cNvPr id="39" name="Chart 39" title="Gráfico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295775" cy="2657475"/>
    <xdr:graphicFrame macro="">
      <xdr:nvGraphicFramePr>
        <xdr:cNvPr id="40" name="Chart 40" title="Gráfico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438150</xdr:colOff>
      <xdr:row>0</xdr:row>
      <xdr:rowOff>19050</xdr:rowOff>
    </xdr:from>
    <xdr:ext cx="4295775" cy="2657475"/>
    <xdr:graphicFrame macro="">
      <xdr:nvGraphicFramePr>
        <xdr:cNvPr id="41" name="Chart 41" title="Gráfico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190500</xdr:rowOff>
    </xdr:from>
    <xdr:ext cx="4295775" cy="2657475"/>
    <xdr:graphicFrame macro="">
      <xdr:nvGraphicFramePr>
        <xdr:cNvPr id="42" name="Chart 42" title="Gráfico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295775" cy="2657475"/>
    <xdr:graphicFrame macro="">
      <xdr:nvGraphicFramePr>
        <xdr:cNvPr id="43" name="Chart 43" title="Gráfico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438150</xdr:colOff>
      <xdr:row>0</xdr:row>
      <xdr:rowOff>19050</xdr:rowOff>
    </xdr:from>
    <xdr:ext cx="4295775" cy="2657475"/>
    <xdr:graphicFrame macro="">
      <xdr:nvGraphicFramePr>
        <xdr:cNvPr id="44" name="Chart 44" title="Gráfico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190500</xdr:rowOff>
    </xdr:from>
    <xdr:ext cx="4295775" cy="2657475"/>
    <xdr:graphicFrame macro="">
      <xdr:nvGraphicFramePr>
        <xdr:cNvPr id="45" name="Chart 45" title="Gráfico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5229225" cy="2657475"/>
    <xdr:graphicFrame macro="">
      <xdr:nvGraphicFramePr>
        <xdr:cNvPr id="46" name="Chart 46" title="Gráfico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</xdr:row>
      <xdr:rowOff>190500</xdr:rowOff>
    </xdr:from>
    <xdr:ext cx="5229225" cy="2657475"/>
    <xdr:graphicFrame macro="">
      <xdr:nvGraphicFramePr>
        <xdr:cNvPr id="47" name="Chart 47" title="Gráfico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25</xdr:row>
      <xdr:rowOff>47625</xdr:rowOff>
    </xdr:from>
    <xdr:ext cx="5229225" cy="2657475"/>
    <xdr:graphicFrame macro="">
      <xdr:nvGraphicFramePr>
        <xdr:cNvPr id="48" name="Chart 48" title="Gráfico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762500" cy="2657475"/>
    <xdr:graphicFrame macro="">
      <xdr:nvGraphicFramePr>
        <xdr:cNvPr id="49" name="Chart 49" title="Gráfico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</xdr:row>
      <xdr:rowOff>190500</xdr:rowOff>
    </xdr:from>
    <xdr:ext cx="4295775" cy="2657475"/>
    <xdr:graphicFrame macro="">
      <xdr:nvGraphicFramePr>
        <xdr:cNvPr id="50" name="Chart 50" title="Gráfico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26</xdr:row>
      <xdr:rowOff>57150</xdr:rowOff>
    </xdr:from>
    <xdr:ext cx="4295775" cy="2657475"/>
    <xdr:graphicFrame macro="">
      <xdr:nvGraphicFramePr>
        <xdr:cNvPr id="51" name="Chart 51" title="Gráfico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543425" cy="2657475"/>
    <xdr:graphicFrame macro="">
      <xdr:nvGraphicFramePr>
        <xdr:cNvPr id="52" name="Chart 52" title="Gráfico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742950</xdr:colOff>
      <xdr:row>0</xdr:row>
      <xdr:rowOff>0</xdr:rowOff>
    </xdr:from>
    <xdr:ext cx="4295775" cy="2657475"/>
    <xdr:graphicFrame macro="">
      <xdr:nvGraphicFramePr>
        <xdr:cNvPr id="53" name="Chart 53" title="Gráfico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190500</xdr:rowOff>
    </xdr:from>
    <xdr:ext cx="4295775" cy="2657475"/>
    <xdr:graphicFrame macro="">
      <xdr:nvGraphicFramePr>
        <xdr:cNvPr id="54" name="Chart 54" title="Gráfico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19050</xdr:rowOff>
    </xdr:from>
    <xdr:ext cx="4295775" cy="2657475"/>
    <xdr:graphicFrame macro="">
      <xdr:nvGraphicFramePr>
        <xdr:cNvPr id="55" name="Chart 55" title="Gráfico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438150</xdr:colOff>
      <xdr:row>0</xdr:row>
      <xdr:rowOff>19050</xdr:rowOff>
    </xdr:from>
    <xdr:ext cx="4295775" cy="2657475"/>
    <xdr:graphicFrame macro="">
      <xdr:nvGraphicFramePr>
        <xdr:cNvPr id="56" name="Chart 56" title="Gráfico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190500</xdr:rowOff>
    </xdr:from>
    <xdr:ext cx="4295775" cy="2657475"/>
    <xdr:graphicFrame macro="">
      <xdr:nvGraphicFramePr>
        <xdr:cNvPr id="57" name="Chart 57" title="Gráfico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58" name="Chart 58" title="Gráfico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59" name="Chart 59" title="Gráfico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60" name="Chart 60" title="Gráfico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61" name="Chart 61" title="Gráfico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62" name="Chart 62" title="Gráfico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63" name="Chart 63" title="Gráfico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64" name="Chart 64" title="Gráfico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65" name="Chart 65" title="Gráfico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66" name="Chart 66" title="Gráfico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67" name="Chart 67" title="Gráfico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68" name="Chart 68" title="Gráfico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152400</xdr:rowOff>
    </xdr:from>
    <xdr:ext cx="4295775" cy="2657475"/>
    <xdr:graphicFrame macro="">
      <xdr:nvGraphicFramePr>
        <xdr:cNvPr id="69" name="Chart 69" title="Gráfico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70" name="Chart 70" title="Gráfico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71" name="Chart 71" title="Gráfico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152400</xdr:rowOff>
    </xdr:from>
    <xdr:ext cx="4295775" cy="2657475"/>
    <xdr:graphicFrame macro="">
      <xdr:nvGraphicFramePr>
        <xdr:cNvPr id="72" name="Chart 72" title="Gráfico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73" name="Chart 73" title="Gráfico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74" name="Chart 74" title="Gráfico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75" name="Chart 75" title="Gráfico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76" name="Chart 76" title="Gráfico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77" name="Chart 77" title="Gráfico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78" name="Chart 78" title="Gráfico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0</xdr:row>
      <xdr:rowOff>19050</xdr:rowOff>
    </xdr:from>
    <xdr:ext cx="4295775" cy="2657475"/>
    <xdr:graphicFrame macro="">
      <xdr:nvGraphicFramePr>
        <xdr:cNvPr id="79" name="Chart 79" title="Gráfico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638175</xdr:colOff>
      <xdr:row>0</xdr:row>
      <xdr:rowOff>19050</xdr:rowOff>
    </xdr:from>
    <xdr:ext cx="4295775" cy="2657475"/>
    <xdr:graphicFrame macro="">
      <xdr:nvGraphicFramePr>
        <xdr:cNvPr id="80" name="Chart 80" title="Gráfico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190500</xdr:rowOff>
    </xdr:from>
    <xdr:ext cx="4295775" cy="2657475"/>
    <xdr:graphicFrame macro="">
      <xdr:nvGraphicFramePr>
        <xdr:cNvPr id="81" name="Chart 81" title="Gráfico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114"/>
  <sheetViews>
    <sheetView tabSelected="1" workbookViewId="0">
      <selection activeCell="E38" sqref="E38"/>
    </sheetView>
  </sheetViews>
  <sheetFormatPr baseColWidth="10" defaultColWidth="12.61328125" defaultRowHeight="15.75" customHeight="1"/>
  <cols>
    <col min="1" max="1" width="5.4609375" bestFit="1" customWidth="1"/>
    <col min="2" max="2" width="17.23046875" customWidth="1"/>
    <col min="3" max="3" width="5.3828125" customWidth="1"/>
    <col min="4" max="4" width="0.3828125" customWidth="1"/>
    <col min="5" max="5" width="6.4609375" customWidth="1"/>
    <col min="6" max="6" width="5.765625" customWidth="1"/>
    <col min="7" max="7" width="4.3828125" customWidth="1"/>
    <col min="8" max="8" width="6.4609375" customWidth="1"/>
    <col min="9" max="9" width="5" customWidth="1"/>
    <col min="10" max="10" width="5.23046875" customWidth="1"/>
    <col min="11" max="11" width="3" customWidth="1"/>
    <col min="12" max="12" width="5.4609375" customWidth="1"/>
    <col min="13" max="13" width="3" customWidth="1"/>
    <col min="14" max="14" width="4.765625" customWidth="1"/>
    <col min="15" max="15" width="3" customWidth="1"/>
    <col min="16" max="16" width="5.4609375" customWidth="1"/>
    <col min="17" max="17" width="3" customWidth="1"/>
    <col min="18" max="18" width="5.23046875" customWidth="1"/>
    <col min="19" max="19" width="5.3828125" customWidth="1"/>
    <col min="20" max="20" width="5" customWidth="1"/>
    <col min="21" max="21" width="4.4609375" customWidth="1"/>
    <col min="22" max="23" width="4.15234375" customWidth="1"/>
    <col min="24" max="24" width="4.765625" customWidth="1"/>
    <col min="25" max="25" width="5.61328125" customWidth="1"/>
    <col min="26" max="26" width="5.15234375" customWidth="1"/>
    <col min="27" max="27" width="4.3828125" customWidth="1"/>
    <col min="28" max="28" width="4.765625" customWidth="1"/>
    <col min="29" max="29" width="5.3828125" customWidth="1"/>
    <col min="30" max="30" width="4" customWidth="1"/>
    <col min="31" max="32" width="4.3828125" customWidth="1"/>
    <col min="33" max="33" width="4.4609375" customWidth="1"/>
    <col min="34" max="34" width="3.61328125" customWidth="1"/>
    <col min="35" max="36" width="3.4609375" customWidth="1"/>
    <col min="37" max="58" width="4.23046875" customWidth="1"/>
  </cols>
  <sheetData>
    <row r="1" spans="1:58" ht="15.75" customHeight="1">
      <c r="A1" s="66"/>
      <c r="B1" s="66"/>
      <c r="C1" s="1"/>
      <c r="D1" s="1"/>
      <c r="E1" s="67" t="s">
        <v>70</v>
      </c>
      <c r="F1" s="68"/>
      <c r="G1" s="68"/>
      <c r="H1" s="68"/>
      <c r="I1" s="6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.75" customHeight="1">
      <c r="A2" s="66"/>
      <c r="B2" s="66"/>
      <c r="C2" s="1"/>
      <c r="D2" s="1"/>
      <c r="E2" s="67" t="s">
        <v>1</v>
      </c>
      <c r="F2" s="68"/>
      <c r="G2" s="65"/>
      <c r="H2" s="69" t="s">
        <v>2</v>
      </c>
      <c r="I2" s="6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.75" customHeight="1">
      <c r="A3" s="3"/>
      <c r="B3" s="3" t="s">
        <v>3</v>
      </c>
      <c r="C3" s="57" t="s">
        <v>4</v>
      </c>
      <c r="D3" s="57"/>
      <c r="E3" s="58" t="s">
        <v>5</v>
      </c>
      <c r="F3" s="58" t="s">
        <v>6</v>
      </c>
      <c r="G3" s="58" t="s">
        <v>7</v>
      </c>
      <c r="H3" s="59" t="s">
        <v>8</v>
      </c>
      <c r="I3" s="58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5.75" customHeight="1">
      <c r="A4" s="3" t="s">
        <v>68</v>
      </c>
      <c r="B4" s="3" t="s">
        <v>11</v>
      </c>
      <c r="C4" s="7">
        <v>54</v>
      </c>
      <c r="D4" s="7" t="str">
        <f t="shared" ref="D4:D19" si="0">CONCATENATE(B4,"(",C4,")")</f>
        <v>Lengua(54)</v>
      </c>
      <c r="E4" s="8">
        <v>0.93220000000000003</v>
      </c>
      <c r="F4" s="9">
        <v>5.37</v>
      </c>
      <c r="G4" s="9">
        <v>7.16</v>
      </c>
      <c r="H4" s="8">
        <v>0.83260000000000001</v>
      </c>
      <c r="I4" s="9">
        <v>6.5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5.75" customHeight="1">
      <c r="A5" s="3" t="s">
        <v>68</v>
      </c>
      <c r="B5" s="3" t="s">
        <v>12</v>
      </c>
      <c r="C5" s="7">
        <v>53</v>
      </c>
      <c r="D5" s="7" t="str">
        <f t="shared" si="0"/>
        <v>Inglés(53)</v>
      </c>
      <c r="E5" s="8">
        <v>0.89829999999999999</v>
      </c>
      <c r="F5" s="9">
        <v>6.69</v>
      </c>
      <c r="G5" s="9">
        <v>7</v>
      </c>
      <c r="H5" s="8">
        <v>0.84470000000000001</v>
      </c>
      <c r="I5" s="9">
        <v>7.15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5.75" customHeight="1">
      <c r="A6" s="3" t="s">
        <v>68</v>
      </c>
      <c r="B6" s="3" t="s">
        <v>13</v>
      </c>
      <c r="C6" s="10">
        <v>23</v>
      </c>
      <c r="D6" s="7" t="str">
        <f t="shared" si="0"/>
        <v>Historia(23)</v>
      </c>
      <c r="E6" s="8">
        <v>0.38979999999999998</v>
      </c>
      <c r="F6" s="9">
        <v>6.73</v>
      </c>
      <c r="G6" s="9">
        <v>6.59</v>
      </c>
      <c r="H6" s="8">
        <v>0.82440000000000002</v>
      </c>
      <c r="I6" s="9">
        <v>6.91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5.75" customHeight="1">
      <c r="A7" s="3" t="s">
        <v>68</v>
      </c>
      <c r="B7" s="3" t="s">
        <v>14</v>
      </c>
      <c r="C7" s="7">
        <v>38</v>
      </c>
      <c r="D7" s="7" t="str">
        <f t="shared" si="0"/>
        <v>Mate(38)</v>
      </c>
      <c r="E7" s="8">
        <v>0.95</v>
      </c>
      <c r="F7" s="9">
        <v>5.41</v>
      </c>
      <c r="G7" s="9">
        <v>7</v>
      </c>
      <c r="H7" s="8">
        <v>0.59409999999999996</v>
      </c>
      <c r="I7" s="9">
        <v>5.47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5.75" customHeight="1">
      <c r="A8" s="3" t="s">
        <v>68</v>
      </c>
      <c r="B8" s="3" t="s">
        <v>15</v>
      </c>
      <c r="C8" s="7">
        <v>16</v>
      </c>
      <c r="D8" s="7" t="str">
        <f t="shared" si="0"/>
        <v>Mate CCSS(16)</v>
      </c>
      <c r="E8" s="8">
        <v>0.84209999999999996</v>
      </c>
      <c r="F8" s="9">
        <v>4.67</v>
      </c>
      <c r="G8" s="9">
        <v>6.43</v>
      </c>
      <c r="H8" s="8">
        <v>0.59230000000000005</v>
      </c>
      <c r="I8" s="9">
        <v>5.22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5.75" customHeight="1">
      <c r="A9" s="3" t="s">
        <v>68</v>
      </c>
      <c r="B9" s="3" t="s">
        <v>16</v>
      </c>
      <c r="C9" s="7">
        <v>15</v>
      </c>
      <c r="D9" s="7" t="str">
        <f t="shared" si="0"/>
        <v>Física(15)</v>
      </c>
      <c r="E9" s="8">
        <v>0.71419999999999995</v>
      </c>
      <c r="F9" s="9">
        <v>6.53</v>
      </c>
      <c r="G9" s="9">
        <v>6.65</v>
      </c>
      <c r="H9" s="8">
        <v>0.5504</v>
      </c>
      <c r="I9" s="9">
        <v>5.3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5.75" customHeight="1">
      <c r="A10" s="3" t="s">
        <v>68</v>
      </c>
      <c r="B10" s="3" t="s">
        <v>17</v>
      </c>
      <c r="C10" s="7">
        <v>22</v>
      </c>
      <c r="D10" s="7" t="str">
        <f t="shared" si="0"/>
        <v>Química(22)</v>
      </c>
      <c r="E10" s="8">
        <v>0.75860000000000005</v>
      </c>
      <c r="F10" s="9">
        <v>5.33</v>
      </c>
      <c r="G10" s="9">
        <v>7.05</v>
      </c>
      <c r="H10" s="8">
        <v>0.73660000000000003</v>
      </c>
      <c r="I10" s="9">
        <v>6.11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5.75" customHeight="1">
      <c r="A11" s="3" t="s">
        <v>68</v>
      </c>
      <c r="B11" s="3" t="s">
        <v>18</v>
      </c>
      <c r="C11" s="7">
        <v>16</v>
      </c>
      <c r="D11" s="7" t="str">
        <f t="shared" si="0"/>
        <v>Biología(16)</v>
      </c>
      <c r="E11" s="8">
        <v>0.84209999999999996</v>
      </c>
      <c r="F11" s="9">
        <v>6.3</v>
      </c>
      <c r="G11" s="9">
        <v>7.6</v>
      </c>
      <c r="H11" s="8">
        <v>0.65129999999999999</v>
      </c>
      <c r="I11" s="9">
        <v>5.64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5.75" customHeight="1">
      <c r="A12" s="3" t="s">
        <v>68</v>
      </c>
      <c r="B12" s="3" t="s">
        <v>19</v>
      </c>
      <c r="C12" s="7">
        <v>2</v>
      </c>
      <c r="D12" s="7" t="str">
        <f t="shared" si="0"/>
        <v>Dibujo Técnico(2)</v>
      </c>
      <c r="E12" s="8">
        <v>0.33329999999999999</v>
      </c>
      <c r="F12" s="9">
        <v>5.25</v>
      </c>
      <c r="G12" s="9">
        <v>9.5</v>
      </c>
      <c r="H12" s="8">
        <v>0.66769999999999996</v>
      </c>
      <c r="I12" s="9">
        <v>5.79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5.75" customHeight="1">
      <c r="A13" s="3" t="s">
        <v>68</v>
      </c>
      <c r="B13" s="3" t="s">
        <v>20</v>
      </c>
      <c r="C13" s="7">
        <v>14</v>
      </c>
      <c r="D13" s="7" t="str">
        <f t="shared" si="0"/>
        <v>Economía(14)</v>
      </c>
      <c r="E13" s="8">
        <v>0.73680000000000001</v>
      </c>
      <c r="F13" s="9">
        <v>6.92</v>
      </c>
      <c r="G13" s="9">
        <v>6</v>
      </c>
      <c r="H13" s="8">
        <v>0.76219999999999999</v>
      </c>
      <c r="I13" s="9">
        <v>6.22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5.75" customHeight="1">
      <c r="A14" s="3" t="s">
        <v>68</v>
      </c>
      <c r="B14" s="3" t="s">
        <v>21</v>
      </c>
      <c r="C14" s="10">
        <v>31</v>
      </c>
      <c r="D14" s="7" t="str">
        <f t="shared" si="0"/>
        <v>H. Filosofía(31)</v>
      </c>
      <c r="E14" s="8">
        <v>0.52539999999999998</v>
      </c>
      <c r="F14" s="9">
        <v>6.89</v>
      </c>
      <c r="G14" s="9">
        <v>7.41</v>
      </c>
      <c r="H14" s="8">
        <v>0.7621</v>
      </c>
      <c r="I14" s="9">
        <v>6.43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5.75" customHeight="1">
      <c r="A15" s="3" t="s">
        <v>68</v>
      </c>
      <c r="B15" s="3" t="s">
        <v>22</v>
      </c>
      <c r="C15" s="7">
        <v>0</v>
      </c>
      <c r="D15" s="7" t="str">
        <f t="shared" si="0"/>
        <v>H. Arte(0)</v>
      </c>
      <c r="E15" s="8"/>
      <c r="F15" s="11"/>
      <c r="G15" s="9"/>
      <c r="H15" s="8">
        <v>0.63239999999999996</v>
      </c>
      <c r="I15" s="9">
        <v>5.58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5.75" customHeight="1">
      <c r="A16" s="3" t="s">
        <v>68</v>
      </c>
      <c r="B16" s="3" t="s">
        <v>23</v>
      </c>
      <c r="C16" s="7">
        <v>12</v>
      </c>
      <c r="D16" s="7" t="str">
        <f t="shared" si="0"/>
        <v>Geografía(12)</v>
      </c>
      <c r="E16" s="8">
        <v>0.63149999999999995</v>
      </c>
      <c r="F16" s="9">
        <v>6.63</v>
      </c>
      <c r="G16" s="9">
        <v>7.14</v>
      </c>
      <c r="H16" s="8">
        <v>0.745</v>
      </c>
      <c r="I16" s="9">
        <v>6.23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5.75" customHeight="1">
      <c r="A17" s="3" t="s">
        <v>68</v>
      </c>
      <c r="B17" s="3" t="s">
        <v>24</v>
      </c>
      <c r="C17" s="7">
        <v>7</v>
      </c>
      <c r="D17" s="7" t="str">
        <f t="shared" si="0"/>
        <v>Tecno e Ing(7)</v>
      </c>
      <c r="E17" s="8">
        <v>0.63629999999999998</v>
      </c>
      <c r="F17" s="11">
        <v>4.7300000000000004</v>
      </c>
      <c r="G17" s="9">
        <v>7.73</v>
      </c>
      <c r="H17" s="8">
        <v>0.70679999999999998</v>
      </c>
      <c r="I17" s="9">
        <v>6.1070000000000002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5.75" customHeight="1">
      <c r="A18" s="3" t="s">
        <v>68</v>
      </c>
      <c r="B18" s="3" t="s">
        <v>25</v>
      </c>
      <c r="C18" s="12">
        <v>54</v>
      </c>
      <c r="D18" s="7" t="str">
        <f t="shared" si="0"/>
        <v>Fase General(54)</v>
      </c>
      <c r="E18" s="8">
        <v>0.97299999999999998</v>
      </c>
      <c r="F18" s="13">
        <v>6.01</v>
      </c>
      <c r="G18" s="13">
        <f>(C4*G4+C5*G5+C6*G6+C7*G7+C8*G8+C14*G14)/(C4+C5+C6+C7+C8+C14)</f>
        <v>7.0130232558139545</v>
      </c>
      <c r="H18" s="8"/>
      <c r="I18" s="13">
        <v>6.4370000000000003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5.75" customHeight="1">
      <c r="A19" s="3" t="s">
        <v>68</v>
      </c>
      <c r="B19" s="3" t="s">
        <v>26</v>
      </c>
      <c r="C19" s="12">
        <v>56</v>
      </c>
      <c r="D19" s="7" t="str">
        <f t="shared" si="0"/>
        <v>Titulan(56)</v>
      </c>
      <c r="E19" s="8">
        <v>0.94910000000000005</v>
      </c>
      <c r="F19" s="13"/>
      <c r="G19" s="13"/>
      <c r="H19" s="8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5.75" customHeight="1">
      <c r="C20" s="1"/>
      <c r="D20" s="1"/>
      <c r="E20" s="67" t="s">
        <v>0</v>
      </c>
      <c r="F20" s="68"/>
      <c r="G20" s="68"/>
      <c r="H20" s="68"/>
      <c r="I20" s="6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5.75" customHeight="1">
      <c r="C21" s="1"/>
      <c r="D21" s="1"/>
      <c r="E21" s="67" t="s">
        <v>1</v>
      </c>
      <c r="F21" s="68"/>
      <c r="G21" s="2"/>
      <c r="H21" s="69" t="s">
        <v>2</v>
      </c>
      <c r="I21" s="6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5.75" customHeight="1">
      <c r="A22" s="3"/>
      <c r="B22" s="3" t="s">
        <v>3</v>
      </c>
      <c r="C22" s="4" t="s">
        <v>4</v>
      </c>
      <c r="D22" s="4"/>
      <c r="E22" s="5" t="s">
        <v>5</v>
      </c>
      <c r="F22" s="5" t="s">
        <v>6</v>
      </c>
      <c r="G22" s="5" t="s">
        <v>7</v>
      </c>
      <c r="H22" s="6" t="s">
        <v>8</v>
      </c>
      <c r="I22" s="5" t="s">
        <v>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.75" customHeight="1">
      <c r="A23" s="3" t="s">
        <v>10</v>
      </c>
      <c r="B23" s="3" t="s">
        <v>11</v>
      </c>
      <c r="C23" s="7">
        <v>37</v>
      </c>
      <c r="D23" s="7" t="str">
        <f t="shared" ref="D23:D38" si="1">CONCATENATE(B23,"(",C23,")")</f>
        <v>Lengua(37)</v>
      </c>
      <c r="E23" s="8">
        <v>0.70269999999999999</v>
      </c>
      <c r="F23" s="9">
        <v>5.37</v>
      </c>
      <c r="G23" s="9">
        <v>7.16</v>
      </c>
      <c r="H23" s="8">
        <v>0.83260000000000001</v>
      </c>
      <c r="I23" s="9">
        <v>6.5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.75" customHeight="1">
      <c r="A24" s="3" t="s">
        <v>10</v>
      </c>
      <c r="B24" s="3" t="s">
        <v>12</v>
      </c>
      <c r="C24" s="7">
        <v>37</v>
      </c>
      <c r="D24" s="7" t="str">
        <f t="shared" si="1"/>
        <v>Inglés(37)</v>
      </c>
      <c r="E24" s="8">
        <v>0.83779999999999999</v>
      </c>
      <c r="F24" s="9">
        <v>7.01</v>
      </c>
      <c r="G24" s="9">
        <v>7</v>
      </c>
      <c r="H24" s="8">
        <v>0.84470000000000001</v>
      </c>
      <c r="I24" s="9">
        <v>7.15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.75" customHeight="1">
      <c r="A25" s="3" t="s">
        <v>10</v>
      </c>
      <c r="B25" s="3" t="s">
        <v>13</v>
      </c>
      <c r="C25" s="10">
        <v>9</v>
      </c>
      <c r="D25" s="7" t="str">
        <f t="shared" si="1"/>
        <v>Historia(9)</v>
      </c>
      <c r="E25" s="8">
        <v>0.66669999999999996</v>
      </c>
      <c r="F25" s="9">
        <v>5.89</v>
      </c>
      <c r="G25" s="9">
        <v>6.59</v>
      </c>
      <c r="H25" s="8">
        <v>0.82440000000000002</v>
      </c>
      <c r="I25" s="9">
        <v>6.91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.75" customHeight="1">
      <c r="A26" s="3" t="s">
        <v>10</v>
      </c>
      <c r="B26" s="3" t="s">
        <v>14</v>
      </c>
      <c r="C26" s="7">
        <v>30</v>
      </c>
      <c r="D26" s="7" t="str">
        <f t="shared" si="1"/>
        <v>Mate(30)</v>
      </c>
      <c r="E26" s="8">
        <v>0.63329999999999997</v>
      </c>
      <c r="F26" s="9">
        <v>5.19</v>
      </c>
      <c r="G26" s="9">
        <v>7</v>
      </c>
      <c r="H26" s="8">
        <v>0.59409999999999996</v>
      </c>
      <c r="I26" s="9">
        <v>5.47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.75" customHeight="1">
      <c r="A27" s="3" t="s">
        <v>10</v>
      </c>
      <c r="B27" s="3" t="s">
        <v>15</v>
      </c>
      <c r="C27" s="7">
        <v>7</v>
      </c>
      <c r="D27" s="7" t="str">
        <f t="shared" si="1"/>
        <v>Mate CCSS(7)</v>
      </c>
      <c r="E27" s="8">
        <v>1</v>
      </c>
      <c r="F27" s="9">
        <v>6.36</v>
      </c>
      <c r="G27" s="9">
        <v>6.43</v>
      </c>
      <c r="H27" s="8">
        <v>0.59230000000000005</v>
      </c>
      <c r="I27" s="9">
        <v>5.22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.75" customHeight="1">
      <c r="A28" s="3" t="s">
        <v>10</v>
      </c>
      <c r="B28" s="3" t="s">
        <v>16</v>
      </c>
      <c r="C28" s="7">
        <v>20</v>
      </c>
      <c r="D28" s="7" t="str">
        <f t="shared" si="1"/>
        <v>Física(20)</v>
      </c>
      <c r="E28" s="8">
        <v>0.3</v>
      </c>
      <c r="F28" s="9">
        <v>4.43</v>
      </c>
      <c r="G28" s="9">
        <v>6.65</v>
      </c>
      <c r="H28" s="8">
        <v>0.5504</v>
      </c>
      <c r="I28" s="9">
        <v>5.3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5.75" customHeight="1">
      <c r="A29" s="3" t="s">
        <v>10</v>
      </c>
      <c r="B29" s="3" t="s">
        <v>17</v>
      </c>
      <c r="C29" s="7">
        <v>15</v>
      </c>
      <c r="D29" s="7" t="str">
        <f t="shared" si="1"/>
        <v>Química(15)</v>
      </c>
      <c r="E29" s="8">
        <v>0.86670000000000003</v>
      </c>
      <c r="F29" s="9">
        <v>6.68</v>
      </c>
      <c r="G29" s="9">
        <v>7.05</v>
      </c>
      <c r="H29" s="8">
        <v>0.73660000000000003</v>
      </c>
      <c r="I29" s="9">
        <v>6.11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5.75" customHeight="1">
      <c r="A30" s="3" t="s">
        <v>10</v>
      </c>
      <c r="B30" s="3" t="s">
        <v>18</v>
      </c>
      <c r="C30" s="7">
        <v>11</v>
      </c>
      <c r="D30" s="7" t="str">
        <f t="shared" si="1"/>
        <v>Biología(11)</v>
      </c>
      <c r="E30" s="8">
        <v>0.54549999999999998</v>
      </c>
      <c r="F30" s="9">
        <v>5</v>
      </c>
      <c r="G30" s="9">
        <v>7.6</v>
      </c>
      <c r="H30" s="8">
        <v>0.65129999999999999</v>
      </c>
      <c r="I30" s="9">
        <v>5.64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.75" customHeight="1">
      <c r="A31" s="3" t="s">
        <v>10</v>
      </c>
      <c r="B31" s="3" t="s">
        <v>19</v>
      </c>
      <c r="C31" s="7">
        <v>4</v>
      </c>
      <c r="D31" s="7" t="str">
        <f t="shared" si="1"/>
        <v>Dibujo Técnico(4)</v>
      </c>
      <c r="E31" s="8">
        <v>0.25</v>
      </c>
      <c r="F31" s="9">
        <v>3.31</v>
      </c>
      <c r="G31" s="9">
        <v>9.5</v>
      </c>
      <c r="H31" s="8">
        <v>0.66769999999999996</v>
      </c>
      <c r="I31" s="9">
        <v>5.79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.75" customHeight="1">
      <c r="A32" s="3" t="s">
        <v>10</v>
      </c>
      <c r="B32" s="3" t="s">
        <v>20</v>
      </c>
      <c r="C32" s="7">
        <v>5</v>
      </c>
      <c r="D32" s="7" t="str">
        <f t="shared" si="1"/>
        <v>Economía(5)</v>
      </c>
      <c r="E32" s="8">
        <v>1</v>
      </c>
      <c r="F32" s="9">
        <v>6.1</v>
      </c>
      <c r="G32" s="9">
        <v>6</v>
      </c>
      <c r="H32" s="8">
        <v>0.76219999999999999</v>
      </c>
      <c r="I32" s="9">
        <v>6.22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15.75" customHeight="1">
      <c r="A33" s="3" t="s">
        <v>10</v>
      </c>
      <c r="B33" s="3" t="s">
        <v>21</v>
      </c>
      <c r="C33" s="10">
        <v>28</v>
      </c>
      <c r="D33" s="7" t="str">
        <f t="shared" si="1"/>
        <v>H. Filosofía(28)</v>
      </c>
      <c r="E33" s="8">
        <v>0.75</v>
      </c>
      <c r="F33" s="9">
        <v>6.36</v>
      </c>
      <c r="G33" s="9">
        <v>7.41</v>
      </c>
      <c r="H33" s="8">
        <v>0.7621</v>
      </c>
      <c r="I33" s="9">
        <v>6.43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15.75" customHeight="1">
      <c r="A34" s="3" t="s">
        <v>10</v>
      </c>
      <c r="B34" s="3" t="s">
        <v>22</v>
      </c>
      <c r="C34" s="7">
        <v>0</v>
      </c>
      <c r="D34" s="7" t="str">
        <f t="shared" si="1"/>
        <v>H. Arte(0)</v>
      </c>
      <c r="E34" s="8"/>
      <c r="F34" s="11"/>
      <c r="G34" s="9"/>
      <c r="H34" s="8">
        <v>0.63239999999999996</v>
      </c>
      <c r="I34" s="9">
        <v>5.58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15.75" customHeight="1">
      <c r="A35" s="3" t="s">
        <v>10</v>
      </c>
      <c r="B35" s="3" t="s">
        <v>23</v>
      </c>
      <c r="C35" s="7">
        <v>2</v>
      </c>
      <c r="D35" s="7" t="str">
        <f t="shared" si="1"/>
        <v>Geografía(2)</v>
      </c>
      <c r="E35" s="8">
        <v>0.5</v>
      </c>
      <c r="F35" s="9">
        <v>4.88</v>
      </c>
      <c r="G35" s="9">
        <v>7.14</v>
      </c>
      <c r="H35" s="8">
        <v>0.745</v>
      </c>
      <c r="I35" s="9">
        <v>6.23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15.75" customHeight="1">
      <c r="A36" s="3" t="s">
        <v>10</v>
      </c>
      <c r="B36" s="3" t="s">
        <v>24</v>
      </c>
      <c r="C36" s="7">
        <v>0</v>
      </c>
      <c r="D36" s="7" t="str">
        <f t="shared" si="1"/>
        <v>Tecno e Ing(0)</v>
      </c>
      <c r="E36" s="8"/>
      <c r="F36" s="11"/>
      <c r="G36" s="9">
        <v>7.73</v>
      </c>
      <c r="H36" s="8">
        <v>0.70679999999999998</v>
      </c>
      <c r="I36" s="9">
        <v>6.1070000000000002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15.75" customHeight="1">
      <c r="A37" s="3" t="s">
        <v>10</v>
      </c>
      <c r="B37" s="3" t="s">
        <v>25</v>
      </c>
      <c r="C37" s="12">
        <v>37</v>
      </c>
      <c r="D37" s="7" t="str">
        <f t="shared" si="1"/>
        <v>Fase General(37)</v>
      </c>
      <c r="E37" s="8">
        <v>0.97299999999999998</v>
      </c>
      <c r="F37" s="13">
        <v>6.01</v>
      </c>
      <c r="G37" s="13">
        <f>(C23*G23+C24*G24+C25*G25+C26*G26+C27*G27+C33*G33)/(C23+C24+C25+C26+C27+C33)</f>
        <v>7.065675675675676</v>
      </c>
      <c r="H37" s="8"/>
      <c r="I37" s="13">
        <v>6.4370000000000003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5.75" customHeight="1">
      <c r="A38" s="3" t="s">
        <v>10</v>
      </c>
      <c r="B38" s="3" t="s">
        <v>26</v>
      </c>
      <c r="C38" s="12">
        <v>52</v>
      </c>
      <c r="D38" s="7" t="str">
        <f t="shared" si="1"/>
        <v>Titulan(52)</v>
      </c>
      <c r="E38" s="8">
        <v>0.71150000000000002</v>
      </c>
      <c r="F38" s="13"/>
      <c r="G38" s="13"/>
      <c r="H38" s="8"/>
      <c r="I38" s="1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5.75" customHeight="1">
      <c r="C39" s="1"/>
      <c r="D39" s="1"/>
      <c r="E39" s="67" t="s">
        <v>27</v>
      </c>
      <c r="F39" s="68"/>
      <c r="G39" s="68"/>
      <c r="H39" s="68"/>
      <c r="I39" s="6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5.75" customHeight="1">
      <c r="C40" s="1"/>
      <c r="D40" s="1"/>
      <c r="E40" s="67" t="s">
        <v>1</v>
      </c>
      <c r="F40" s="68"/>
      <c r="G40" s="2"/>
      <c r="H40" s="69" t="s">
        <v>2</v>
      </c>
      <c r="I40" s="6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5.75" customHeight="1">
      <c r="A41" s="3"/>
      <c r="B41" s="3" t="s">
        <v>3</v>
      </c>
      <c r="C41" s="4" t="s">
        <v>4</v>
      </c>
      <c r="D41" s="4"/>
      <c r="E41" s="5" t="s">
        <v>5</v>
      </c>
      <c r="F41" s="5" t="s">
        <v>6</v>
      </c>
      <c r="G41" s="5" t="s">
        <v>7</v>
      </c>
      <c r="H41" s="6" t="s">
        <v>8</v>
      </c>
      <c r="I41" s="5" t="s">
        <v>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5.75" customHeight="1">
      <c r="A42" s="3" t="s">
        <v>28</v>
      </c>
      <c r="B42" s="3" t="s">
        <v>11</v>
      </c>
      <c r="C42" s="7">
        <v>44</v>
      </c>
      <c r="D42" s="7" t="str">
        <f t="shared" ref="D42:D57" si="2">CONCATENATE(B42,"(",C42,")")</f>
        <v>Lengua(44)</v>
      </c>
      <c r="E42" s="8">
        <v>0.73329999999999995</v>
      </c>
      <c r="F42" s="9">
        <v>5.66</v>
      </c>
      <c r="G42" s="9">
        <v>6.73</v>
      </c>
      <c r="H42" s="8">
        <v>0.8821</v>
      </c>
      <c r="I42" s="9">
        <v>6.86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5.75" customHeight="1">
      <c r="A43" s="3" t="s">
        <v>28</v>
      </c>
      <c r="B43" s="3" t="s">
        <v>12</v>
      </c>
      <c r="C43" s="7">
        <v>44</v>
      </c>
      <c r="D43" s="7" t="str">
        <f t="shared" si="2"/>
        <v>Inglés(44)</v>
      </c>
      <c r="E43" s="8">
        <v>0.64439999999999997</v>
      </c>
      <c r="F43" s="9">
        <v>5.85</v>
      </c>
      <c r="G43" s="9">
        <v>7</v>
      </c>
      <c r="H43" s="8">
        <v>0.82310000000000005</v>
      </c>
      <c r="I43" s="9">
        <v>6.84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.75" customHeight="1">
      <c r="A44" s="3" t="s">
        <v>28</v>
      </c>
      <c r="B44" s="3" t="s">
        <v>13</v>
      </c>
      <c r="C44" s="10">
        <v>18</v>
      </c>
      <c r="D44" s="7" t="str">
        <f t="shared" si="2"/>
        <v>Historia(18)</v>
      </c>
      <c r="E44" s="8">
        <v>0.57889999999999997</v>
      </c>
      <c r="F44" s="3">
        <v>5.55</v>
      </c>
      <c r="G44" s="9">
        <v>6.92</v>
      </c>
      <c r="H44" s="8">
        <v>0.78639999999999999</v>
      </c>
      <c r="I44" s="9">
        <v>6.68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1:58" ht="15.75" customHeight="1">
      <c r="A45" s="3" t="s">
        <v>28</v>
      </c>
      <c r="B45" s="3" t="s">
        <v>14</v>
      </c>
      <c r="C45" s="7">
        <v>35</v>
      </c>
      <c r="D45" s="7" t="str">
        <f t="shared" si="2"/>
        <v>Mate(35)</v>
      </c>
      <c r="E45" s="8">
        <v>0.69440000000000002</v>
      </c>
      <c r="F45" s="9">
        <v>5.87</v>
      </c>
      <c r="G45" s="9">
        <v>6.62</v>
      </c>
      <c r="H45" s="8">
        <v>0.68220000000000003</v>
      </c>
      <c r="I45" s="9">
        <v>5.8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1:58" ht="12.45">
      <c r="A46" s="3" t="s">
        <v>28</v>
      </c>
      <c r="B46" s="3" t="s">
        <v>15</v>
      </c>
      <c r="C46" s="7">
        <v>9</v>
      </c>
      <c r="D46" s="7" t="str">
        <f t="shared" si="2"/>
        <v>Mate CCSS(9)</v>
      </c>
      <c r="E46" s="8">
        <v>1</v>
      </c>
      <c r="F46" s="9">
        <v>7.04</v>
      </c>
      <c r="G46" s="9">
        <v>6.11</v>
      </c>
      <c r="H46" s="8">
        <v>0.79390000000000005</v>
      </c>
      <c r="I46" s="9">
        <v>6.72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spans="1:58" ht="12.45">
      <c r="A47" s="3" t="s">
        <v>28</v>
      </c>
      <c r="B47" s="3" t="s">
        <v>16</v>
      </c>
      <c r="C47" s="7">
        <v>26</v>
      </c>
      <c r="D47" s="7" t="str">
        <f t="shared" si="2"/>
        <v>Física(26)</v>
      </c>
      <c r="E47" s="8">
        <v>0.81479999999999997</v>
      </c>
      <c r="F47" s="3">
        <v>6.21</v>
      </c>
      <c r="G47" s="9">
        <v>7</v>
      </c>
      <c r="H47" s="8">
        <v>0.78490000000000004</v>
      </c>
      <c r="I47" s="9">
        <v>6.45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ht="12.45">
      <c r="A48" s="3" t="s">
        <v>28</v>
      </c>
      <c r="B48" s="3" t="s">
        <v>17</v>
      </c>
      <c r="C48" s="7">
        <v>28</v>
      </c>
      <c r="D48" s="7" t="str">
        <f t="shared" si="2"/>
        <v>Química(28)</v>
      </c>
      <c r="E48" s="8">
        <v>0.78569999999999995</v>
      </c>
      <c r="F48" s="3">
        <v>6.1</v>
      </c>
      <c r="G48" s="9">
        <v>7.46</v>
      </c>
      <c r="H48" s="8">
        <v>0.77969999999999995</v>
      </c>
      <c r="I48" s="9">
        <v>6.48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ht="12.45">
      <c r="A49" s="3" t="s">
        <v>28</v>
      </c>
      <c r="B49" s="3" t="s">
        <v>18</v>
      </c>
      <c r="C49" s="7">
        <v>10</v>
      </c>
      <c r="D49" s="7" t="str">
        <f t="shared" si="2"/>
        <v>Biología(10)</v>
      </c>
      <c r="E49" s="8">
        <v>0.63639999999999997</v>
      </c>
      <c r="F49" s="3">
        <v>5.75</v>
      </c>
      <c r="G49" s="9">
        <v>7.5</v>
      </c>
      <c r="H49" s="8">
        <v>0.76990000000000003</v>
      </c>
      <c r="I49" s="9">
        <v>6.29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ht="12.45">
      <c r="A50" s="3" t="s">
        <v>28</v>
      </c>
      <c r="B50" s="3" t="s">
        <v>19</v>
      </c>
      <c r="C50" s="7">
        <v>2</v>
      </c>
      <c r="D50" s="7" t="str">
        <f t="shared" si="2"/>
        <v>Dibujo Técnico(2)</v>
      </c>
      <c r="E50" s="8">
        <v>0.5</v>
      </c>
      <c r="F50" s="3">
        <v>5.88</v>
      </c>
      <c r="G50" s="9">
        <v>8.08</v>
      </c>
      <c r="H50" s="8">
        <v>0.84799999999999998</v>
      </c>
      <c r="I50" s="9">
        <v>7.08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ht="12.45">
      <c r="A51" s="3" t="s">
        <v>28</v>
      </c>
      <c r="B51" s="3" t="s">
        <v>20</v>
      </c>
      <c r="C51" s="7">
        <v>8</v>
      </c>
      <c r="D51" s="7" t="str">
        <f t="shared" si="2"/>
        <v>Economía(8)</v>
      </c>
      <c r="E51" s="8">
        <v>0.75</v>
      </c>
      <c r="F51" s="3">
        <v>5.94</v>
      </c>
      <c r="G51" s="9">
        <v>6.56</v>
      </c>
      <c r="H51" s="8">
        <v>0.79469999999999996</v>
      </c>
      <c r="I51" s="9">
        <v>6.6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ht="12.45">
      <c r="A52" s="3" t="s">
        <v>28</v>
      </c>
      <c r="B52" s="3" t="s">
        <v>21</v>
      </c>
      <c r="C52" s="10">
        <v>27</v>
      </c>
      <c r="D52" s="7" t="str">
        <f t="shared" si="2"/>
        <v>H. Filosofía(27)</v>
      </c>
      <c r="E52" s="8">
        <v>0.69230000000000003</v>
      </c>
      <c r="F52" s="3">
        <v>6.3</v>
      </c>
      <c r="G52" s="9">
        <v>7.22</v>
      </c>
      <c r="H52" s="8">
        <v>0.82010000000000005</v>
      </c>
      <c r="I52" s="9">
        <v>6.97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ht="12.45">
      <c r="A53" s="3" t="s">
        <v>28</v>
      </c>
      <c r="B53" s="3" t="s">
        <v>22</v>
      </c>
      <c r="C53" s="7">
        <v>0</v>
      </c>
      <c r="D53" s="7" t="str">
        <f t="shared" si="2"/>
        <v>H. Arte(0)</v>
      </c>
      <c r="E53" s="8"/>
      <c r="G53" s="9"/>
      <c r="H53" s="8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ht="12.45">
      <c r="A54" s="3" t="s">
        <v>28</v>
      </c>
      <c r="B54" s="3" t="s">
        <v>23</v>
      </c>
      <c r="C54" s="7">
        <v>1</v>
      </c>
      <c r="D54" s="7" t="str">
        <f t="shared" si="2"/>
        <v>Geografía(1)</v>
      </c>
      <c r="E54" s="8">
        <v>1</v>
      </c>
      <c r="F54" s="3">
        <v>8.25</v>
      </c>
      <c r="G54" s="9">
        <v>6.44</v>
      </c>
      <c r="H54" s="8">
        <v>0.82879999999999998</v>
      </c>
      <c r="I54" s="9">
        <v>6.36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ht="12.45">
      <c r="A55" s="3" t="s">
        <v>28</v>
      </c>
      <c r="B55" s="3" t="s">
        <v>29</v>
      </c>
      <c r="C55" s="7">
        <v>0</v>
      </c>
      <c r="D55" s="7" t="str">
        <f t="shared" si="2"/>
        <v>Francés(0)</v>
      </c>
      <c r="E55" s="8"/>
      <c r="G55" s="9"/>
      <c r="H55" s="8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ht="12.45">
      <c r="A56" s="3" t="s">
        <v>28</v>
      </c>
      <c r="B56" s="3" t="s">
        <v>25</v>
      </c>
      <c r="C56" s="12">
        <v>44</v>
      </c>
      <c r="D56" s="7" t="str">
        <f t="shared" si="2"/>
        <v>Fase General(44)</v>
      </c>
      <c r="E56" s="8">
        <v>0.93179999999999996</v>
      </c>
      <c r="F56" s="13">
        <v>5.9</v>
      </c>
      <c r="G56" s="13">
        <f>(C42*G42+C43*G43+C44*G44+C45*G45+C46*G46+C52*G52)/(C42+C43+C44+C45+C46+C52)</f>
        <v>6.8379096045197754</v>
      </c>
      <c r="H56" s="8">
        <v>0.95720000000000005</v>
      </c>
      <c r="I56" s="13">
        <v>6.65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ht="12.45">
      <c r="A57" s="3" t="s">
        <v>28</v>
      </c>
      <c r="B57" s="3" t="s">
        <v>26</v>
      </c>
      <c r="C57" s="12">
        <v>60</v>
      </c>
      <c r="D57" s="7" t="str">
        <f t="shared" si="2"/>
        <v>Titulan(60)</v>
      </c>
      <c r="E57" s="8">
        <v>0.76670000000000005</v>
      </c>
      <c r="F57" s="13"/>
      <c r="G57" s="13"/>
      <c r="H57" s="8"/>
      <c r="I57" s="1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ht="12.45">
      <c r="C58" s="1"/>
      <c r="D58" s="1"/>
      <c r="E58" s="67" t="s">
        <v>30</v>
      </c>
      <c r="F58" s="68"/>
      <c r="G58" s="68"/>
      <c r="H58" s="68"/>
      <c r="I58" s="6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ht="12.45">
      <c r="C59" s="1"/>
      <c r="D59" s="1"/>
      <c r="E59" s="67" t="s">
        <v>1</v>
      </c>
      <c r="F59" s="68"/>
      <c r="G59" s="2"/>
      <c r="H59" s="69" t="s">
        <v>2</v>
      </c>
      <c r="I59" s="6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ht="69.900000000000006">
      <c r="A60" s="3"/>
      <c r="B60" s="3" t="s">
        <v>3</v>
      </c>
      <c r="C60" s="4" t="s">
        <v>4</v>
      </c>
      <c r="D60" s="4"/>
      <c r="E60" s="5" t="s">
        <v>5</v>
      </c>
      <c r="F60" s="5" t="s">
        <v>6</v>
      </c>
      <c r="G60" s="5" t="s">
        <v>7</v>
      </c>
      <c r="H60" s="6" t="s">
        <v>8</v>
      </c>
      <c r="I60" s="5" t="s">
        <v>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ht="12.45">
      <c r="A61" s="3" t="s">
        <v>31</v>
      </c>
      <c r="B61" s="3" t="s">
        <v>11</v>
      </c>
      <c r="C61" s="7">
        <v>43</v>
      </c>
      <c r="D61" s="7" t="str">
        <f t="shared" ref="D61:D76" si="3">CONCATENATE(B61,"(",C61,")")</f>
        <v>Lengua(43)</v>
      </c>
      <c r="E61" s="8">
        <v>0.71109999999999995</v>
      </c>
      <c r="F61" s="3">
        <v>5.68</v>
      </c>
      <c r="G61" s="9">
        <v>7.2</v>
      </c>
      <c r="H61" s="8">
        <v>0.83779999999999999</v>
      </c>
      <c r="I61" s="9">
        <v>6.61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ht="12.45">
      <c r="A62" s="3" t="s">
        <v>31</v>
      </c>
      <c r="B62" s="3" t="s">
        <v>12</v>
      </c>
      <c r="C62" s="7">
        <v>43</v>
      </c>
      <c r="D62" s="7" t="str">
        <f t="shared" si="3"/>
        <v>Inglés(43)</v>
      </c>
      <c r="E62" s="8">
        <v>0.75560000000000005</v>
      </c>
      <c r="F62" s="3">
        <v>6.55</v>
      </c>
      <c r="G62" s="9">
        <v>6.84</v>
      </c>
      <c r="H62" s="8">
        <v>0.87129999999999996</v>
      </c>
      <c r="I62" s="9">
        <v>7.28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ht="12.45">
      <c r="A63" s="3" t="s">
        <v>31</v>
      </c>
      <c r="B63" s="3" t="s">
        <v>13</v>
      </c>
      <c r="C63" s="7">
        <v>43</v>
      </c>
      <c r="D63" s="7" t="str">
        <f t="shared" si="3"/>
        <v>Historia(43)</v>
      </c>
      <c r="E63" s="8">
        <v>0.71109999999999995</v>
      </c>
      <c r="F63" s="3">
        <v>6.31</v>
      </c>
      <c r="G63" s="9">
        <v>7.3</v>
      </c>
      <c r="H63" s="8">
        <v>0.79890000000000005</v>
      </c>
      <c r="I63" s="9">
        <v>6.73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ht="12.45">
      <c r="A64" s="3" t="s">
        <v>31</v>
      </c>
      <c r="B64" s="3" t="s">
        <v>14</v>
      </c>
      <c r="C64" s="7">
        <v>25</v>
      </c>
      <c r="D64" s="7" t="str">
        <f t="shared" si="3"/>
        <v>Mate(25)</v>
      </c>
      <c r="E64" s="8">
        <v>0.85189999999999999</v>
      </c>
      <c r="F64" s="3">
        <v>6.78</v>
      </c>
      <c r="G64" s="9">
        <v>6.92</v>
      </c>
      <c r="H64" s="8">
        <v>0.75990000000000002</v>
      </c>
      <c r="I64" s="9">
        <v>6.48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ht="12.45">
      <c r="A65" s="3" t="s">
        <v>31</v>
      </c>
      <c r="B65" s="3" t="s">
        <v>15</v>
      </c>
      <c r="C65" s="7">
        <v>18</v>
      </c>
      <c r="D65" s="7" t="str">
        <f t="shared" si="3"/>
        <v>Mate CCSS(18)</v>
      </c>
      <c r="E65" s="8">
        <v>1</v>
      </c>
      <c r="F65" s="3">
        <v>7.71</v>
      </c>
      <c r="G65" s="9">
        <v>7.11</v>
      </c>
      <c r="H65" s="8">
        <v>0.80379999999999996</v>
      </c>
      <c r="I65" s="9">
        <v>6.79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ht="12.45">
      <c r="A66" s="3" t="s">
        <v>31</v>
      </c>
      <c r="B66" s="3" t="s">
        <v>16</v>
      </c>
      <c r="C66" s="7">
        <v>21</v>
      </c>
      <c r="D66" s="7" t="str">
        <f t="shared" si="3"/>
        <v>Física(21)</v>
      </c>
      <c r="E66" s="8">
        <v>0.90910000000000002</v>
      </c>
      <c r="F66" s="3">
        <v>7.27</v>
      </c>
      <c r="G66" s="9">
        <v>7.2</v>
      </c>
      <c r="H66" s="8">
        <v>0.81130000000000002</v>
      </c>
      <c r="I66" s="9">
        <v>6.85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ht="12.45">
      <c r="A67" s="3" t="s">
        <v>31</v>
      </c>
      <c r="B67" s="3" t="s">
        <v>17</v>
      </c>
      <c r="C67" s="7">
        <v>13</v>
      </c>
      <c r="D67" s="7" t="str">
        <f t="shared" si="3"/>
        <v>Química(13)</v>
      </c>
      <c r="E67" s="8">
        <v>0.71430000000000005</v>
      </c>
      <c r="F67" s="3">
        <v>6.68</v>
      </c>
      <c r="G67" s="9">
        <v>6.68</v>
      </c>
      <c r="H67" s="8">
        <v>0.8145</v>
      </c>
      <c r="I67" s="9">
        <v>6.81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ht="12.45">
      <c r="A68" s="3" t="s">
        <v>31</v>
      </c>
      <c r="B68" s="3" t="s">
        <v>18</v>
      </c>
      <c r="C68" s="7">
        <v>6</v>
      </c>
      <c r="D68" s="7" t="str">
        <f t="shared" si="3"/>
        <v>Biología(6)</v>
      </c>
      <c r="E68" s="8">
        <v>0.85709999999999997</v>
      </c>
      <c r="F68" s="3">
        <v>6.71</v>
      </c>
      <c r="G68" s="9">
        <v>7.86</v>
      </c>
      <c r="H68" s="8">
        <v>0.70630000000000004</v>
      </c>
      <c r="I68" s="9">
        <v>6.02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ht="12.45">
      <c r="A69" s="3" t="s">
        <v>31</v>
      </c>
      <c r="B69" s="3" t="s">
        <v>19</v>
      </c>
      <c r="C69" s="7">
        <v>8</v>
      </c>
      <c r="D69" s="7" t="str">
        <f t="shared" si="3"/>
        <v>Dibujo Técnico(8)</v>
      </c>
      <c r="E69" s="8">
        <v>0.625</v>
      </c>
      <c r="F69" s="3">
        <v>5.53</v>
      </c>
      <c r="G69" s="9">
        <v>7.41</v>
      </c>
      <c r="H69" s="8">
        <v>0.7167</v>
      </c>
      <c r="I69" s="9">
        <v>6.15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ht="12.45">
      <c r="A70" s="3" t="s">
        <v>31</v>
      </c>
      <c r="B70" s="3" t="s">
        <v>20</v>
      </c>
      <c r="C70" s="7">
        <v>11</v>
      </c>
      <c r="D70" s="7" t="str">
        <f t="shared" si="3"/>
        <v>Economía(11)</v>
      </c>
      <c r="E70" s="8">
        <v>0.90910000000000002</v>
      </c>
      <c r="F70" s="3">
        <v>8.23</v>
      </c>
      <c r="G70" s="9">
        <v>7</v>
      </c>
      <c r="H70" s="8">
        <v>0.76500000000000001</v>
      </c>
      <c r="I70" s="9">
        <v>6.5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ht="12.45">
      <c r="A71" s="3" t="s">
        <v>31</v>
      </c>
      <c r="B71" s="3" t="s">
        <v>21</v>
      </c>
      <c r="C71" s="7">
        <v>7</v>
      </c>
      <c r="D71" s="7" t="str">
        <f t="shared" si="3"/>
        <v>H. Filosofía(7)</v>
      </c>
      <c r="E71" s="8">
        <v>0.85709999999999997</v>
      </c>
      <c r="F71" s="3">
        <v>6.21</v>
      </c>
      <c r="G71" s="9">
        <v>7.32</v>
      </c>
      <c r="H71" s="8">
        <v>0.7893</v>
      </c>
      <c r="I71" s="9">
        <v>6.5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ht="12.45">
      <c r="A72" s="3" t="s">
        <v>31</v>
      </c>
      <c r="B72" s="3" t="s">
        <v>22</v>
      </c>
      <c r="C72" s="7">
        <v>5</v>
      </c>
      <c r="D72" s="7" t="str">
        <f t="shared" si="3"/>
        <v>H. Arte(5)</v>
      </c>
      <c r="E72" s="8">
        <v>0.4</v>
      </c>
      <c r="F72" s="3">
        <v>4.75</v>
      </c>
      <c r="G72" s="9">
        <v>7.07</v>
      </c>
      <c r="H72" s="8">
        <v>0.61539999999999995</v>
      </c>
      <c r="I72" s="9">
        <v>5.66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ht="12.45">
      <c r="A73" s="3" t="s">
        <v>31</v>
      </c>
      <c r="B73" s="3" t="s">
        <v>23</v>
      </c>
      <c r="C73" s="7">
        <v>1</v>
      </c>
      <c r="D73" s="7" t="str">
        <f t="shared" si="3"/>
        <v>Geografía(1)</v>
      </c>
      <c r="E73" s="8">
        <v>1</v>
      </c>
      <c r="F73" s="3">
        <v>7.25</v>
      </c>
      <c r="G73" s="9">
        <v>8</v>
      </c>
      <c r="H73" s="8">
        <v>0.86119999999999997</v>
      </c>
      <c r="I73" s="9">
        <v>6.63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ht="12.45">
      <c r="A74" s="3" t="s">
        <v>31</v>
      </c>
      <c r="B74" s="3" t="s">
        <v>29</v>
      </c>
      <c r="C74" s="7">
        <v>0</v>
      </c>
      <c r="D74" s="7" t="str">
        <f t="shared" si="3"/>
        <v>Francés(0)</v>
      </c>
      <c r="E74" s="8">
        <v>0</v>
      </c>
      <c r="F74" s="3">
        <v>0</v>
      </c>
      <c r="G74" s="9">
        <v>0</v>
      </c>
      <c r="H74" s="8">
        <v>0.7802</v>
      </c>
      <c r="I74" s="9">
        <v>5.94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ht="12.45">
      <c r="A75" s="3" t="s">
        <v>31</v>
      </c>
      <c r="B75" s="3" t="s">
        <v>25</v>
      </c>
      <c r="C75" s="12">
        <v>43</v>
      </c>
      <c r="D75" s="7" t="str">
        <f t="shared" si="3"/>
        <v>Fase General(43)</v>
      </c>
      <c r="E75" s="8">
        <v>0.9556</v>
      </c>
      <c r="F75" s="13">
        <v>6.41</v>
      </c>
      <c r="G75" s="13">
        <f ca="1">IFERROR(__xludf.DUMMYFUNCTION("AVERAGE.WEIGHTED(G42:G46,C42:C46)"),7.08488372093023)</f>
        <v>7.0848837209302298</v>
      </c>
      <c r="H75" s="8">
        <v>0.9526</v>
      </c>
      <c r="I75" s="13">
        <v>6.7430000000000003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ht="12.45">
      <c r="A76" s="3" t="s">
        <v>32</v>
      </c>
      <c r="B76" s="3" t="s">
        <v>26</v>
      </c>
      <c r="C76" s="12">
        <v>54</v>
      </c>
      <c r="D76" s="7" t="str">
        <f t="shared" si="3"/>
        <v>Titulan(54)</v>
      </c>
      <c r="E76" s="8">
        <v>0.79630000000000001</v>
      </c>
      <c r="F76" s="13"/>
      <c r="G76" s="13"/>
      <c r="H76" s="8"/>
      <c r="I76" s="1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ht="12.45">
      <c r="C77" s="1"/>
      <c r="D77" s="1"/>
      <c r="E77" s="67" t="s">
        <v>33</v>
      </c>
      <c r="F77" s="68"/>
      <c r="G77" s="68"/>
      <c r="H77" s="68"/>
      <c r="I77" s="6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ht="12.45">
      <c r="C78" s="1"/>
      <c r="D78" s="1"/>
      <c r="E78" s="67" t="s">
        <v>1</v>
      </c>
      <c r="F78" s="68"/>
      <c r="G78" s="2"/>
      <c r="H78" s="69" t="s">
        <v>2</v>
      </c>
      <c r="I78" s="6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ht="69.900000000000006">
      <c r="A79" s="3"/>
      <c r="B79" s="3" t="s">
        <v>3</v>
      </c>
      <c r="C79" s="4" t="s">
        <v>4</v>
      </c>
      <c r="D79" s="4"/>
      <c r="E79" s="5" t="s">
        <v>5</v>
      </c>
      <c r="F79" s="5" t="s">
        <v>6</v>
      </c>
      <c r="G79" s="5" t="s">
        <v>7</v>
      </c>
      <c r="H79" s="6" t="s">
        <v>8</v>
      </c>
      <c r="I79" s="5" t="s">
        <v>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ht="12.45">
      <c r="A80" s="3" t="s">
        <v>34</v>
      </c>
      <c r="B80" s="3" t="s">
        <v>11</v>
      </c>
      <c r="C80" s="7">
        <v>48</v>
      </c>
      <c r="D80" s="7" t="str">
        <f t="shared" ref="D80:D95" si="4">CONCATENATE(B80,"(",C80,")")</f>
        <v>Lengua(48)</v>
      </c>
      <c r="E80" s="8">
        <v>0.67349999999999999</v>
      </c>
      <c r="F80" s="3">
        <v>6.19</v>
      </c>
      <c r="G80" s="9">
        <v>6.77</v>
      </c>
      <c r="H80" s="8">
        <v>0.83730000000000004</v>
      </c>
      <c r="I80" s="9">
        <v>6.66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ht="12.45">
      <c r="A81" s="3" t="s">
        <v>34</v>
      </c>
      <c r="B81" s="3" t="s">
        <v>12</v>
      </c>
      <c r="C81" s="7">
        <v>48</v>
      </c>
      <c r="D81" s="7" t="str">
        <f t="shared" si="4"/>
        <v>Inglés(48)</v>
      </c>
      <c r="E81" s="8">
        <v>0.59179999999999999</v>
      </c>
      <c r="F81" s="3">
        <v>5.6</v>
      </c>
      <c r="G81" s="3">
        <v>7</v>
      </c>
      <c r="H81" s="8">
        <v>0.75329999999999997</v>
      </c>
      <c r="I81" s="9">
        <v>6.35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ht="12.45">
      <c r="A82" s="3" t="s">
        <v>34</v>
      </c>
      <c r="B82" s="3" t="s">
        <v>13</v>
      </c>
      <c r="C82" s="7">
        <v>48</v>
      </c>
      <c r="D82" s="7" t="str">
        <f t="shared" si="4"/>
        <v>Historia(48)</v>
      </c>
      <c r="E82" s="8">
        <v>0.65310000000000001</v>
      </c>
      <c r="F82" s="3">
        <v>5.89</v>
      </c>
      <c r="G82" s="9">
        <v>7.3</v>
      </c>
      <c r="H82" s="8">
        <v>0.74660000000000004</v>
      </c>
      <c r="I82" s="9">
        <v>6.49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ht="12.45">
      <c r="A83" s="3" t="s">
        <v>34</v>
      </c>
      <c r="B83" s="3" t="s">
        <v>14</v>
      </c>
      <c r="C83" s="7">
        <v>28</v>
      </c>
      <c r="D83" s="7" t="str">
        <f t="shared" si="4"/>
        <v>Mate(28)</v>
      </c>
      <c r="E83" s="8">
        <v>0.89659999999999995</v>
      </c>
      <c r="F83" s="3">
        <v>7.47</v>
      </c>
      <c r="G83" s="9">
        <v>7.21</v>
      </c>
      <c r="H83" s="8">
        <v>0.81340000000000001</v>
      </c>
      <c r="I83" s="9">
        <v>6.74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ht="12.45">
      <c r="A84" s="3" t="s">
        <v>34</v>
      </c>
      <c r="B84" s="3" t="s">
        <v>15</v>
      </c>
      <c r="C84" s="7">
        <v>20</v>
      </c>
      <c r="D84" s="7" t="str">
        <f t="shared" si="4"/>
        <v>Mate CCSS(20)</v>
      </c>
      <c r="E84" s="8">
        <v>0.8</v>
      </c>
      <c r="F84" s="3">
        <v>6.2</v>
      </c>
      <c r="G84" s="9">
        <v>6.68</v>
      </c>
      <c r="H84" s="8">
        <v>0.70989999999999998</v>
      </c>
      <c r="I84" s="9">
        <v>5.93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ht="12.45">
      <c r="A85" s="3" t="s">
        <v>34</v>
      </c>
      <c r="B85" s="3" t="s">
        <v>16</v>
      </c>
      <c r="C85" s="7">
        <v>25</v>
      </c>
      <c r="D85" s="7" t="str">
        <f t="shared" si="4"/>
        <v>Física(25)</v>
      </c>
      <c r="E85" s="8">
        <v>0.72</v>
      </c>
      <c r="F85" s="3">
        <v>5.72</v>
      </c>
      <c r="G85" s="9">
        <v>7.48</v>
      </c>
      <c r="H85" s="8">
        <v>0.60589999999999999</v>
      </c>
      <c r="I85" s="9">
        <v>5.52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ht="12.45">
      <c r="A86" s="3" t="s">
        <v>34</v>
      </c>
      <c r="B86" s="3" t="s">
        <v>17</v>
      </c>
      <c r="C86" s="7">
        <v>19</v>
      </c>
      <c r="D86" s="7" t="str">
        <f t="shared" si="4"/>
        <v>Química(19)</v>
      </c>
      <c r="E86" s="8">
        <v>0.78949999999999998</v>
      </c>
      <c r="F86" s="3">
        <v>7.01</v>
      </c>
      <c r="G86" s="9">
        <v>7.62</v>
      </c>
      <c r="H86" s="8">
        <v>0.84809999999999997</v>
      </c>
      <c r="I86" s="9">
        <v>7.06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ht="12.45">
      <c r="A87" s="3" t="s">
        <v>34</v>
      </c>
      <c r="B87" s="3" t="s">
        <v>18</v>
      </c>
      <c r="C87" s="7">
        <v>10</v>
      </c>
      <c r="D87" s="7" t="str">
        <f t="shared" si="4"/>
        <v>Biología(10)</v>
      </c>
      <c r="E87" s="8">
        <v>0.9</v>
      </c>
      <c r="F87" s="3">
        <v>7.55</v>
      </c>
      <c r="G87" s="9">
        <v>7.76</v>
      </c>
      <c r="H87" s="8">
        <v>0.88449999999999995</v>
      </c>
      <c r="I87" s="9">
        <v>7.31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ht="12.45">
      <c r="A88" s="3" t="s">
        <v>34</v>
      </c>
      <c r="B88" s="3" t="s">
        <v>19</v>
      </c>
      <c r="C88" s="7">
        <v>6</v>
      </c>
      <c r="D88" s="7" t="str">
        <f t="shared" si="4"/>
        <v>Dibujo Técnico(6)</v>
      </c>
      <c r="E88" s="8">
        <v>0.66669999999999996</v>
      </c>
      <c r="F88" s="3">
        <v>5.75</v>
      </c>
      <c r="G88" s="9">
        <v>8.1300000000000008</v>
      </c>
      <c r="H88" s="8">
        <v>0.59870000000000001</v>
      </c>
      <c r="I88" s="9">
        <v>5.45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ht="12.45">
      <c r="A89" s="3" t="s">
        <v>34</v>
      </c>
      <c r="B89" s="3" t="s">
        <v>20</v>
      </c>
      <c r="C89" s="7">
        <v>10</v>
      </c>
      <c r="D89" s="7" t="str">
        <f t="shared" si="4"/>
        <v>Economía(10)</v>
      </c>
      <c r="E89" s="8">
        <v>0.9</v>
      </c>
      <c r="F89" s="3">
        <v>7.9</v>
      </c>
      <c r="G89" s="9">
        <v>6.32</v>
      </c>
      <c r="H89" s="8">
        <v>0.84099999999999997</v>
      </c>
      <c r="I89" s="9">
        <v>7.02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ht="12.45">
      <c r="A90" s="3" t="s">
        <v>34</v>
      </c>
      <c r="B90" s="3" t="s">
        <v>21</v>
      </c>
      <c r="C90" s="7">
        <v>14</v>
      </c>
      <c r="D90" s="7" t="str">
        <f t="shared" si="4"/>
        <v>H. Filosofía(14)</v>
      </c>
      <c r="E90" s="8">
        <v>0.71430000000000005</v>
      </c>
      <c r="F90" s="3">
        <v>5.55</v>
      </c>
      <c r="G90" s="9">
        <v>6.89</v>
      </c>
      <c r="H90" s="8">
        <v>0.79749999999999999</v>
      </c>
      <c r="I90" s="9">
        <v>6.61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ht="12.45">
      <c r="A91" s="3" t="s">
        <v>34</v>
      </c>
      <c r="B91" s="3" t="s">
        <v>22</v>
      </c>
      <c r="C91" s="7">
        <v>6</v>
      </c>
      <c r="D91" s="7" t="str">
        <f t="shared" si="4"/>
        <v>H. Arte(6)</v>
      </c>
      <c r="E91" s="8">
        <v>0.83330000000000004</v>
      </c>
      <c r="F91" s="3">
        <v>6.79</v>
      </c>
      <c r="G91" s="9">
        <v>7</v>
      </c>
      <c r="H91" s="8">
        <v>0.7964</v>
      </c>
      <c r="I91" s="9">
        <v>6.44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ht="12.45">
      <c r="A92" s="3" t="s">
        <v>34</v>
      </c>
      <c r="B92" s="3" t="s">
        <v>23</v>
      </c>
      <c r="C92" s="7">
        <v>3</v>
      </c>
      <c r="D92" s="7" t="str">
        <f t="shared" si="4"/>
        <v>Geografía(3)</v>
      </c>
      <c r="E92" s="8">
        <v>0.33329999999999999</v>
      </c>
      <c r="F92" s="3">
        <v>4.33</v>
      </c>
      <c r="G92" s="9">
        <v>6.8</v>
      </c>
      <c r="H92" s="8">
        <v>0.66759999999999997</v>
      </c>
      <c r="I92" s="9">
        <v>5.69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ht="12.45">
      <c r="A93" s="3" t="s">
        <v>34</v>
      </c>
      <c r="B93" s="3" t="s">
        <v>29</v>
      </c>
      <c r="C93" s="7">
        <v>2</v>
      </c>
      <c r="D93" s="7" t="str">
        <f t="shared" si="4"/>
        <v>Francés(2)</v>
      </c>
      <c r="E93" s="8">
        <v>0</v>
      </c>
      <c r="F93" s="3">
        <v>4.5</v>
      </c>
      <c r="G93" s="9">
        <v>8.83</v>
      </c>
      <c r="H93" s="8">
        <v>0.70589999999999997</v>
      </c>
      <c r="I93" s="9">
        <v>6.83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ht="12.45">
      <c r="A94" s="3" t="s">
        <v>34</v>
      </c>
      <c r="B94" s="3" t="s">
        <v>25</v>
      </c>
      <c r="C94" s="12">
        <v>48</v>
      </c>
      <c r="D94" s="7" t="str">
        <f t="shared" si="4"/>
        <v>Fase General(48)</v>
      </c>
      <c r="E94" s="8">
        <v>0.88</v>
      </c>
      <c r="F94" s="13">
        <f ca="1">IFERROR(__xludf.DUMMYFUNCTION("AVERAGE.WEIGHTED(F61:F65,C61:C65)"),6.15520833333333)</f>
        <v>6.1552083333333298</v>
      </c>
      <c r="G94" s="13">
        <f ca="1">IFERROR(__xludf.DUMMYFUNCTION("AVERAGE.WEIGHTED(G61:G65,C61:C65)"),7.01479166666666)</f>
        <v>7.0147916666666603</v>
      </c>
      <c r="H94" s="8">
        <v>0.93279999999999996</v>
      </c>
      <c r="I94" s="13">
        <v>6.49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ht="12.45">
      <c r="A95" s="3" t="s">
        <v>34</v>
      </c>
      <c r="B95" s="3" t="s">
        <v>26</v>
      </c>
      <c r="C95" s="12">
        <v>59</v>
      </c>
      <c r="D95" s="7" t="str">
        <f t="shared" si="4"/>
        <v>Titulan(59)</v>
      </c>
      <c r="E95" s="8">
        <v>0.81359999999999999</v>
      </c>
      <c r="F95" s="13"/>
      <c r="G95" s="13"/>
      <c r="H95" s="8"/>
      <c r="I95" s="1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ht="12.45">
      <c r="C96" s="1"/>
      <c r="D96" s="1"/>
      <c r="E96" s="67" t="s">
        <v>35</v>
      </c>
      <c r="F96" s="68"/>
      <c r="G96" s="68"/>
      <c r="H96" s="68"/>
      <c r="I96" s="68"/>
      <c r="J96" s="67"/>
      <c r="K96" s="68"/>
      <c r="L96" s="68"/>
      <c r="M96" s="68"/>
      <c r="N96" s="67"/>
      <c r="O96" s="68"/>
      <c r="P96" s="68"/>
      <c r="Q96" s="68"/>
      <c r="R96" s="67"/>
      <c r="S96" s="68"/>
      <c r="T96" s="68"/>
      <c r="U96" s="68"/>
      <c r="V96" s="67"/>
      <c r="W96" s="68"/>
      <c r="X96" s="68"/>
      <c r="Y96" s="68"/>
      <c r="Z96" s="67"/>
      <c r="AA96" s="68"/>
      <c r="AB96" s="68"/>
      <c r="AC96" s="68"/>
      <c r="AD96" s="67"/>
      <c r="AE96" s="68"/>
      <c r="AF96" s="68"/>
      <c r="AG96" s="68"/>
      <c r="AH96" s="67"/>
      <c r="AI96" s="68"/>
      <c r="AJ96" s="68"/>
      <c r="AK96" s="68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ht="12.45">
      <c r="C97" s="1"/>
      <c r="D97" s="1"/>
      <c r="E97" s="67" t="s">
        <v>1</v>
      </c>
      <c r="F97" s="68"/>
      <c r="G97" s="2"/>
      <c r="H97" s="69" t="s">
        <v>2</v>
      </c>
      <c r="I97" s="68"/>
      <c r="J97" s="67"/>
      <c r="K97" s="68"/>
      <c r="L97" s="67"/>
      <c r="M97" s="68"/>
      <c r="N97" s="67"/>
      <c r="O97" s="68"/>
      <c r="P97" s="67"/>
      <c r="Q97" s="68"/>
      <c r="R97" s="67"/>
      <c r="S97" s="68"/>
      <c r="T97" s="67"/>
      <c r="U97" s="68"/>
      <c r="V97" s="67"/>
      <c r="W97" s="68"/>
      <c r="X97" s="67"/>
      <c r="Y97" s="68"/>
      <c r="Z97" s="67"/>
      <c r="AA97" s="68"/>
      <c r="AB97" s="67"/>
      <c r="AC97" s="68"/>
      <c r="AD97" s="67"/>
      <c r="AE97" s="68"/>
      <c r="AF97" s="67"/>
      <c r="AG97" s="68"/>
      <c r="AH97" s="67"/>
      <c r="AI97" s="68"/>
      <c r="AJ97" s="67"/>
      <c r="AK97" s="68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spans="1:58" ht="69.900000000000006">
      <c r="A98" s="3"/>
      <c r="B98" s="3" t="s">
        <v>3</v>
      </c>
      <c r="C98" s="4" t="s">
        <v>4</v>
      </c>
      <c r="D98" s="4"/>
      <c r="E98" s="5" t="s">
        <v>5</v>
      </c>
      <c r="F98" s="5" t="s">
        <v>6</v>
      </c>
      <c r="G98" s="5" t="s">
        <v>7</v>
      </c>
      <c r="H98" s="6" t="s">
        <v>8</v>
      </c>
      <c r="I98" s="5" t="s">
        <v>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1:58" ht="12.45">
      <c r="A99" s="3" t="s">
        <v>36</v>
      </c>
      <c r="B99" s="3" t="s">
        <v>11</v>
      </c>
      <c r="C99" s="7">
        <v>49</v>
      </c>
      <c r="D99" s="7" t="str">
        <f t="shared" ref="D99:D114" si="5">CONCATENATE(B99,"(",C99,")")</f>
        <v>Lengua(49)</v>
      </c>
      <c r="E99" s="8">
        <v>0.70830000000000004</v>
      </c>
      <c r="F99" s="9">
        <v>5.82</v>
      </c>
      <c r="G99" s="9">
        <v>6.43</v>
      </c>
      <c r="H99" s="8">
        <v>0.83320000000000005</v>
      </c>
      <c r="I99" s="9">
        <v>6.54</v>
      </c>
      <c r="J99" s="16"/>
      <c r="K99" s="11"/>
      <c r="L99" s="16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</row>
    <row r="100" spans="1:58" ht="12.45">
      <c r="A100" s="3" t="s">
        <v>36</v>
      </c>
      <c r="B100" s="3" t="s">
        <v>12</v>
      </c>
      <c r="C100" s="7">
        <v>49</v>
      </c>
      <c r="D100" s="7" t="str">
        <f t="shared" si="5"/>
        <v>Inglés(49)</v>
      </c>
      <c r="E100" s="8">
        <v>0.59179999999999999</v>
      </c>
      <c r="F100" s="3">
        <v>5.28</v>
      </c>
      <c r="G100" s="9">
        <v>6.51</v>
      </c>
      <c r="H100" s="8">
        <v>0.77980000000000005</v>
      </c>
      <c r="I100" s="9">
        <v>6.48</v>
      </c>
      <c r="J100" s="16"/>
      <c r="K100" s="11"/>
      <c r="L100" s="16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</row>
    <row r="101" spans="1:58" ht="12.45">
      <c r="A101" s="3" t="s">
        <v>36</v>
      </c>
      <c r="B101" s="3" t="s">
        <v>13</v>
      </c>
      <c r="C101" s="7">
        <v>49</v>
      </c>
      <c r="D101" s="7" t="str">
        <f t="shared" si="5"/>
        <v>Historia(49)</v>
      </c>
      <c r="E101" s="8">
        <v>0.67349999999999999</v>
      </c>
      <c r="F101" s="9">
        <v>5.97</v>
      </c>
      <c r="G101" s="9">
        <v>6.94</v>
      </c>
      <c r="H101" s="8">
        <v>0.76919999999999999</v>
      </c>
      <c r="I101" s="9">
        <v>6.61</v>
      </c>
      <c r="J101" s="16"/>
      <c r="K101" s="11"/>
      <c r="L101" s="16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</row>
    <row r="102" spans="1:58" ht="12.45">
      <c r="A102" s="3" t="s">
        <v>36</v>
      </c>
      <c r="B102" s="3" t="s">
        <v>14</v>
      </c>
      <c r="C102" s="7">
        <v>31</v>
      </c>
      <c r="D102" s="7" t="str">
        <f t="shared" si="5"/>
        <v>Mate(31)</v>
      </c>
      <c r="E102" s="8">
        <v>0.80649999999999999</v>
      </c>
      <c r="F102" s="9">
        <v>6.31</v>
      </c>
      <c r="G102" s="9">
        <v>6.81</v>
      </c>
      <c r="H102" s="8">
        <v>0.71540000000000004</v>
      </c>
      <c r="I102" s="9">
        <v>6.15</v>
      </c>
      <c r="J102" s="8"/>
      <c r="K102" s="7"/>
      <c r="L102" s="16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</row>
    <row r="103" spans="1:58" ht="12.45">
      <c r="A103" s="3" t="s">
        <v>36</v>
      </c>
      <c r="B103" s="3" t="s">
        <v>15</v>
      </c>
      <c r="C103" s="7">
        <v>19</v>
      </c>
      <c r="D103" s="7" t="str">
        <f t="shared" si="5"/>
        <v>Mate CCSS(19)</v>
      </c>
      <c r="E103" s="8">
        <v>0.84209999999999996</v>
      </c>
      <c r="F103" s="9">
        <v>6.87</v>
      </c>
      <c r="G103" s="9">
        <v>6.89</v>
      </c>
      <c r="H103" s="8">
        <v>0.65680000000000005</v>
      </c>
      <c r="I103" s="9">
        <v>5.83</v>
      </c>
      <c r="J103" s="8"/>
      <c r="K103" s="9"/>
      <c r="L103" s="16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</row>
    <row r="104" spans="1:58" ht="12.45">
      <c r="A104" s="3" t="s">
        <v>36</v>
      </c>
      <c r="B104" s="3" t="s">
        <v>16</v>
      </c>
      <c r="C104" s="7">
        <v>24</v>
      </c>
      <c r="D104" s="7" t="str">
        <f t="shared" si="5"/>
        <v>Física(24)</v>
      </c>
      <c r="E104" s="8">
        <v>0.79169999999999996</v>
      </c>
      <c r="F104" s="9">
        <v>6.98</v>
      </c>
      <c r="G104" s="9">
        <v>7.77</v>
      </c>
      <c r="H104" s="8">
        <v>0.77890000000000004</v>
      </c>
      <c r="I104" s="9">
        <v>6.92</v>
      </c>
      <c r="J104" s="16"/>
      <c r="K104" s="11"/>
      <c r="L104" s="16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</row>
    <row r="105" spans="1:58" ht="12.45">
      <c r="A105" s="3" t="s">
        <v>36</v>
      </c>
      <c r="B105" s="3" t="s">
        <v>17</v>
      </c>
      <c r="C105" s="7">
        <v>27</v>
      </c>
      <c r="D105" s="7" t="str">
        <f t="shared" si="5"/>
        <v>Química(27)</v>
      </c>
      <c r="E105" s="8">
        <v>0.96299999999999997</v>
      </c>
      <c r="F105" s="9">
        <v>7.71</v>
      </c>
      <c r="G105" s="9">
        <v>7.65</v>
      </c>
      <c r="H105" s="8">
        <v>0.90310000000000001</v>
      </c>
      <c r="I105" s="9">
        <v>7.6</v>
      </c>
      <c r="J105" s="16"/>
      <c r="K105" s="11"/>
      <c r="L105" s="16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</row>
    <row r="106" spans="1:58" ht="12.45">
      <c r="A106" s="3" t="s">
        <v>36</v>
      </c>
      <c r="B106" s="3" t="s">
        <v>18</v>
      </c>
      <c r="C106" s="7">
        <v>8</v>
      </c>
      <c r="D106" s="7" t="str">
        <f t="shared" si="5"/>
        <v>Biología(8)</v>
      </c>
      <c r="E106" s="8">
        <v>1</v>
      </c>
      <c r="F106" s="9">
        <v>7.47</v>
      </c>
      <c r="G106" s="9">
        <v>7.2</v>
      </c>
      <c r="H106" s="8">
        <v>0.85009999999999997</v>
      </c>
      <c r="I106" s="9">
        <v>7.14</v>
      </c>
      <c r="J106" s="16"/>
      <c r="K106" s="11"/>
      <c r="L106" s="16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</row>
    <row r="107" spans="1:58" ht="12.45">
      <c r="A107" s="3" t="s">
        <v>36</v>
      </c>
      <c r="B107" s="3" t="s">
        <v>19</v>
      </c>
      <c r="C107" s="7">
        <v>3</v>
      </c>
      <c r="D107" s="7" t="str">
        <f t="shared" si="5"/>
        <v>Dibujo Técnico(3)</v>
      </c>
      <c r="E107" s="8">
        <v>0.33329999999999999</v>
      </c>
      <c r="F107" s="9">
        <v>4.42</v>
      </c>
      <c r="G107" s="9">
        <v>8.5</v>
      </c>
      <c r="H107" s="8">
        <v>0.64529999999999998</v>
      </c>
      <c r="I107" s="9">
        <v>5.8</v>
      </c>
      <c r="J107" s="16"/>
      <c r="K107" s="11"/>
      <c r="L107" s="16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</row>
    <row r="108" spans="1:58" ht="12.45">
      <c r="A108" s="3" t="s">
        <v>36</v>
      </c>
      <c r="B108" s="3" t="s">
        <v>20</v>
      </c>
      <c r="C108" s="7">
        <v>14</v>
      </c>
      <c r="D108" s="7" t="str">
        <f t="shared" si="5"/>
        <v>Economía(14)</v>
      </c>
      <c r="E108" s="8">
        <v>1</v>
      </c>
      <c r="F108" s="9">
        <v>8.18</v>
      </c>
      <c r="G108" s="9">
        <v>6.44</v>
      </c>
      <c r="H108" s="8">
        <v>0.82809999999999995</v>
      </c>
      <c r="I108" s="9">
        <v>7.01</v>
      </c>
      <c r="J108" s="16"/>
      <c r="K108" s="11"/>
      <c r="L108" s="16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</row>
    <row r="109" spans="1:58" ht="12.45">
      <c r="A109" s="3" t="s">
        <v>36</v>
      </c>
      <c r="B109" s="3" t="s">
        <v>21</v>
      </c>
      <c r="C109" s="7">
        <v>4</v>
      </c>
      <c r="D109" s="7" t="str">
        <f t="shared" si="5"/>
        <v>H. Filosofía(4)</v>
      </c>
      <c r="E109" s="8">
        <v>0.75</v>
      </c>
      <c r="F109" s="9">
        <v>6.38</v>
      </c>
      <c r="G109" s="9">
        <v>6.83</v>
      </c>
      <c r="H109" s="8">
        <v>0.77300000000000002</v>
      </c>
      <c r="I109" s="9">
        <v>6.4</v>
      </c>
      <c r="J109" s="16"/>
      <c r="K109" s="11"/>
      <c r="L109" s="16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</row>
    <row r="110" spans="1:58" ht="12.45">
      <c r="A110" s="3" t="s">
        <v>36</v>
      </c>
      <c r="B110" s="3" t="s">
        <v>22</v>
      </c>
      <c r="C110" s="7">
        <v>3</v>
      </c>
      <c r="D110" s="7" t="str">
        <f t="shared" si="5"/>
        <v>H. Arte(3)</v>
      </c>
      <c r="E110" s="8">
        <v>1</v>
      </c>
      <c r="F110" s="9">
        <v>7.5</v>
      </c>
      <c r="G110" s="9">
        <v>7.5</v>
      </c>
      <c r="H110" s="8">
        <v>0.74850000000000005</v>
      </c>
      <c r="I110" s="9">
        <v>6.39</v>
      </c>
      <c r="J110" s="16"/>
      <c r="K110" s="11"/>
      <c r="L110" s="16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</row>
    <row r="111" spans="1:58" ht="12.45">
      <c r="A111" s="3" t="s">
        <v>36</v>
      </c>
      <c r="B111" s="3" t="s">
        <v>23</v>
      </c>
      <c r="C111" s="7">
        <v>5</v>
      </c>
      <c r="D111" s="7" t="str">
        <f t="shared" si="5"/>
        <v>Geografía(5)</v>
      </c>
      <c r="E111" s="8">
        <v>0.8</v>
      </c>
      <c r="F111" s="9">
        <v>7.15</v>
      </c>
      <c r="G111" s="9">
        <v>7.06</v>
      </c>
      <c r="H111" s="8">
        <v>0.83899999999999997</v>
      </c>
      <c r="I111" s="9">
        <v>6.4</v>
      </c>
      <c r="J111" s="16"/>
      <c r="K111" s="11"/>
      <c r="L111" s="16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</row>
    <row r="112" spans="1:58" ht="12.45">
      <c r="A112" s="3" t="s">
        <v>36</v>
      </c>
      <c r="B112" s="3" t="s">
        <v>29</v>
      </c>
      <c r="C112" s="7">
        <v>1</v>
      </c>
      <c r="D112" s="7" t="str">
        <f t="shared" si="5"/>
        <v>Francés(1)</v>
      </c>
      <c r="E112" s="8">
        <v>1</v>
      </c>
      <c r="F112" s="9">
        <v>7.25</v>
      </c>
      <c r="G112" s="9">
        <v>8.25</v>
      </c>
      <c r="H112" s="8">
        <v>0.7903</v>
      </c>
      <c r="I112" s="9">
        <v>6.62</v>
      </c>
      <c r="J112" s="1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</row>
    <row r="113" spans="1:58" ht="12.45">
      <c r="A113" s="3" t="s">
        <v>36</v>
      </c>
      <c r="B113" s="3" t="s">
        <v>25</v>
      </c>
      <c r="C113" s="12">
        <v>49</v>
      </c>
      <c r="D113" s="7" t="str">
        <f t="shared" si="5"/>
        <v>Fase General(49)</v>
      </c>
      <c r="E113" s="8">
        <v>0.95920000000000005</v>
      </c>
      <c r="F113" s="13">
        <f ca="1">IFERROR(__xludf.DUMMYFUNCTION("AVERAGE.WEIGHTED(F80:F84,C80:C84)"),5.90137055837563)</f>
        <v>5.9013705583756302</v>
      </c>
      <c r="G113" s="13">
        <f ca="1">IFERROR(__xludf.DUMMYFUNCTION("AVERAGE.WEIGHTED(G80:G84,C80:C84)"),6.68091370558375)</f>
        <v>6.68091370558375</v>
      </c>
      <c r="H113" s="8">
        <v>0.93679999999999997</v>
      </c>
      <c r="I113" s="14">
        <v>6.39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</row>
    <row r="114" spans="1:58" ht="12.45">
      <c r="A114" s="3" t="s">
        <v>36</v>
      </c>
      <c r="B114" s="3" t="s">
        <v>26</v>
      </c>
      <c r="C114" s="12">
        <v>54</v>
      </c>
      <c r="D114" s="7" t="str">
        <f t="shared" si="5"/>
        <v>Titulan(54)</v>
      </c>
      <c r="E114" s="8">
        <v>0.90700000000000003</v>
      </c>
      <c r="F114" s="13"/>
      <c r="G114" s="13"/>
      <c r="H114" s="8"/>
      <c r="I114" s="1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</row>
    <row r="115" spans="1:58" ht="12.45">
      <c r="C115" s="1"/>
      <c r="D115" s="1"/>
      <c r="E115" s="67" t="s">
        <v>37</v>
      </c>
      <c r="F115" s="68"/>
      <c r="G115" s="68"/>
      <c r="H115" s="68"/>
      <c r="I115" s="68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</row>
    <row r="116" spans="1:58" ht="12.45">
      <c r="C116" s="1"/>
      <c r="D116" s="1"/>
      <c r="E116" s="67" t="s">
        <v>1</v>
      </c>
      <c r="F116" s="68"/>
      <c r="G116" s="2"/>
      <c r="H116" s="69" t="s">
        <v>2</v>
      </c>
      <c r="I116" s="68"/>
    </row>
    <row r="117" spans="1:58" ht="69.900000000000006">
      <c r="A117" s="3"/>
      <c r="B117" s="3" t="s">
        <v>3</v>
      </c>
      <c r="C117" s="4" t="s">
        <v>4</v>
      </c>
      <c r="D117" s="4"/>
      <c r="E117" s="5" t="s">
        <v>5</v>
      </c>
      <c r="F117" s="5" t="s">
        <v>6</v>
      </c>
      <c r="G117" s="5" t="s">
        <v>7</v>
      </c>
      <c r="H117" s="6" t="s">
        <v>8</v>
      </c>
      <c r="I117" s="5" t="s">
        <v>9</v>
      </c>
    </row>
    <row r="118" spans="1:58" ht="12.45">
      <c r="A118" s="3" t="s">
        <v>38</v>
      </c>
      <c r="B118" s="3" t="s">
        <v>11</v>
      </c>
      <c r="C118" s="7">
        <v>50</v>
      </c>
      <c r="D118" s="7" t="str">
        <f t="shared" ref="D118:D133" si="6">CONCATENATE(B118,"(",C118,")")</f>
        <v>Lengua(50)</v>
      </c>
      <c r="E118" s="8">
        <v>0.62</v>
      </c>
      <c r="F118" s="9">
        <v>6.1550000000000002</v>
      </c>
      <c r="G118" s="9">
        <v>7.96</v>
      </c>
      <c r="H118" s="8">
        <v>0.78600000000000003</v>
      </c>
      <c r="I118" s="9">
        <v>6.3659999999999997</v>
      </c>
    </row>
    <row r="119" spans="1:58" ht="12.45">
      <c r="A119" s="3" t="s">
        <v>38</v>
      </c>
      <c r="B119" s="3" t="s">
        <v>12</v>
      </c>
      <c r="C119" s="7">
        <v>50</v>
      </c>
      <c r="D119" s="7" t="str">
        <f t="shared" si="6"/>
        <v>Inglés(50)</v>
      </c>
      <c r="E119" s="8">
        <v>0.8</v>
      </c>
      <c r="F119" s="9">
        <v>6.86</v>
      </c>
      <c r="G119" s="9">
        <v>8.08</v>
      </c>
      <c r="H119" s="8">
        <v>0.78490000000000004</v>
      </c>
      <c r="I119" s="9">
        <v>6.7009999999999996</v>
      </c>
    </row>
    <row r="120" spans="1:58" ht="12.45">
      <c r="A120" s="3" t="s">
        <v>38</v>
      </c>
      <c r="B120" s="3" t="s">
        <v>13</v>
      </c>
      <c r="C120" s="7">
        <v>50</v>
      </c>
      <c r="D120" s="7" t="str">
        <f t="shared" si="6"/>
        <v>Historia(50)</v>
      </c>
      <c r="E120" s="8">
        <v>0.6</v>
      </c>
      <c r="F120" s="9">
        <v>5.64</v>
      </c>
      <c r="G120" s="9">
        <v>8.33</v>
      </c>
      <c r="H120" s="8">
        <v>0.69810000000000005</v>
      </c>
      <c r="I120" s="9">
        <v>6.0890000000000004</v>
      </c>
    </row>
    <row r="121" spans="1:58" ht="12.45">
      <c r="A121" s="3" t="s">
        <v>38</v>
      </c>
      <c r="B121" s="3" t="s">
        <v>14</v>
      </c>
      <c r="C121" s="7">
        <v>31</v>
      </c>
      <c r="D121" s="7" t="str">
        <f t="shared" si="6"/>
        <v>Mate(31)</v>
      </c>
      <c r="E121" s="8">
        <v>0.8387</v>
      </c>
      <c r="F121" s="9">
        <v>7.556</v>
      </c>
      <c r="G121" s="9">
        <v>7.6</v>
      </c>
      <c r="H121" s="8">
        <v>0.76070000000000004</v>
      </c>
      <c r="I121" s="9">
        <v>6.6559999999999997</v>
      </c>
    </row>
    <row r="122" spans="1:58" ht="12.45">
      <c r="A122" s="3" t="s">
        <v>38</v>
      </c>
      <c r="B122" s="3" t="s">
        <v>15</v>
      </c>
      <c r="C122" s="7">
        <v>20</v>
      </c>
      <c r="D122" s="7" t="str">
        <f t="shared" si="6"/>
        <v>Mate CCSS(20)</v>
      </c>
      <c r="E122" s="8">
        <v>0.85</v>
      </c>
      <c r="F122" s="9">
        <v>6.3879999999999999</v>
      </c>
      <c r="G122" s="9">
        <v>7.72</v>
      </c>
      <c r="H122" s="8">
        <v>0.59989999999999999</v>
      </c>
      <c r="I122" s="9">
        <v>5.3310000000000004</v>
      </c>
    </row>
    <row r="123" spans="1:58" ht="12.45">
      <c r="A123" s="3" t="s">
        <v>38</v>
      </c>
      <c r="B123" s="3" t="s">
        <v>16</v>
      </c>
      <c r="C123" s="7">
        <v>28</v>
      </c>
      <c r="D123" s="7" t="str">
        <f t="shared" si="6"/>
        <v>Física(28)</v>
      </c>
      <c r="E123" s="8">
        <v>0.77780000000000005</v>
      </c>
      <c r="F123" s="9">
        <v>7.0460000000000003</v>
      </c>
      <c r="G123" s="9">
        <v>7.3</v>
      </c>
      <c r="H123" s="8">
        <v>0.81659999999999999</v>
      </c>
      <c r="I123" s="9">
        <v>7.0810000000000004</v>
      </c>
    </row>
    <row r="124" spans="1:58" ht="12.45">
      <c r="A124" s="3" t="s">
        <v>38</v>
      </c>
      <c r="B124" s="3" t="s">
        <v>17</v>
      </c>
      <c r="C124" s="7">
        <v>22</v>
      </c>
      <c r="D124" s="7" t="str">
        <f t="shared" si="6"/>
        <v>Química(22)</v>
      </c>
      <c r="E124" s="8">
        <v>0.68179999999999996</v>
      </c>
      <c r="F124" s="9">
        <v>6.0110000000000001</v>
      </c>
      <c r="G124" s="9">
        <v>7.37</v>
      </c>
      <c r="H124" s="8">
        <v>0.69730000000000003</v>
      </c>
      <c r="I124" s="9">
        <v>6.1040000000000001</v>
      </c>
    </row>
    <row r="125" spans="1:58" ht="12.45">
      <c r="A125" s="3" t="s">
        <v>38</v>
      </c>
      <c r="B125" s="3" t="s">
        <v>18</v>
      </c>
      <c r="C125" s="7">
        <v>11</v>
      </c>
      <c r="D125" s="7" t="str">
        <f t="shared" si="6"/>
        <v>Biología(11)</v>
      </c>
      <c r="E125" s="8">
        <v>0.90910000000000002</v>
      </c>
      <c r="F125" s="9">
        <v>7.5</v>
      </c>
      <c r="G125" s="9">
        <v>8.31</v>
      </c>
      <c r="H125" s="8">
        <v>0.71619999999999995</v>
      </c>
      <c r="I125" s="9">
        <v>6.3259999999999996</v>
      </c>
    </row>
    <row r="126" spans="1:58" ht="12.45">
      <c r="A126" s="3" t="s">
        <v>38</v>
      </c>
      <c r="B126" s="3" t="s">
        <v>19</v>
      </c>
      <c r="C126" s="7">
        <v>7</v>
      </c>
      <c r="D126" s="7" t="str">
        <f t="shared" si="6"/>
        <v>Dibujo Técnico(7)</v>
      </c>
      <c r="E126" s="8">
        <v>0.85709999999999997</v>
      </c>
      <c r="F126" s="9">
        <v>6.8570000000000002</v>
      </c>
      <c r="G126" s="9">
        <v>8.43</v>
      </c>
      <c r="H126" s="8">
        <v>0.83</v>
      </c>
      <c r="I126" s="9">
        <v>7.0229999999999997</v>
      </c>
    </row>
    <row r="127" spans="1:58" ht="12.45">
      <c r="A127" s="3" t="s">
        <v>38</v>
      </c>
      <c r="B127" s="3" t="s">
        <v>20</v>
      </c>
      <c r="C127" s="7">
        <v>13</v>
      </c>
      <c r="D127" s="7" t="str">
        <f t="shared" si="6"/>
        <v>Economía(13)</v>
      </c>
      <c r="E127" s="8">
        <v>0.84619999999999995</v>
      </c>
      <c r="F127" s="9">
        <v>7.577</v>
      </c>
      <c r="G127" s="9">
        <v>7.28</v>
      </c>
      <c r="H127" s="8">
        <v>0.77400000000000002</v>
      </c>
      <c r="I127" s="9">
        <v>6.5250000000000004</v>
      </c>
    </row>
    <row r="128" spans="1:58" ht="12.45">
      <c r="A128" s="3" t="s">
        <v>38</v>
      </c>
      <c r="B128" s="3" t="s">
        <v>21</v>
      </c>
      <c r="C128" s="7">
        <v>11</v>
      </c>
      <c r="D128" s="7" t="str">
        <f t="shared" si="6"/>
        <v>H. Filosofía(11)</v>
      </c>
      <c r="E128" s="8">
        <v>0.81820000000000004</v>
      </c>
      <c r="F128" s="9">
        <v>6.4770000000000003</v>
      </c>
      <c r="G128" s="9">
        <v>8.5</v>
      </c>
      <c r="H128" s="8">
        <v>0.83299999999999996</v>
      </c>
      <c r="I128" s="9">
        <v>6.9820000000000002</v>
      </c>
    </row>
    <row r="129" spans="1:9" ht="12.45">
      <c r="A129" s="3" t="s">
        <v>38</v>
      </c>
      <c r="B129" s="3" t="s">
        <v>22</v>
      </c>
      <c r="C129" s="7">
        <v>6</v>
      </c>
      <c r="D129" s="7" t="str">
        <f t="shared" si="6"/>
        <v>H. Arte(6)</v>
      </c>
      <c r="E129" s="8">
        <v>0.83330000000000004</v>
      </c>
      <c r="F129" s="9">
        <v>7.25</v>
      </c>
      <c r="G129" s="9">
        <v>7.63</v>
      </c>
      <c r="H129" s="8">
        <v>0.61329999999999996</v>
      </c>
      <c r="I129" s="9">
        <v>5.5209999999999999</v>
      </c>
    </row>
    <row r="130" spans="1:9" ht="12.45">
      <c r="A130" s="3" t="s">
        <v>38</v>
      </c>
      <c r="B130" s="3" t="s">
        <v>23</v>
      </c>
      <c r="C130" s="7">
        <v>10</v>
      </c>
      <c r="D130" s="7" t="str">
        <f t="shared" si="6"/>
        <v>Geografía(10)</v>
      </c>
      <c r="E130" s="8">
        <v>0.5</v>
      </c>
      <c r="F130" s="9">
        <v>4.6500000000000004</v>
      </c>
      <c r="G130" s="9">
        <v>8.33</v>
      </c>
      <c r="H130" s="8">
        <v>0.69359999999999999</v>
      </c>
      <c r="I130" s="9">
        <v>5.7060000000000004</v>
      </c>
    </row>
    <row r="131" spans="1:9" ht="12.45">
      <c r="A131" s="3" t="s">
        <v>38</v>
      </c>
      <c r="B131" s="3" t="s">
        <v>29</v>
      </c>
      <c r="C131" s="7">
        <v>2</v>
      </c>
      <c r="D131" s="7" t="str">
        <f t="shared" si="6"/>
        <v>Francés(2)</v>
      </c>
      <c r="E131" s="8">
        <v>1</v>
      </c>
      <c r="F131" s="9">
        <v>9.625</v>
      </c>
      <c r="G131" s="9">
        <v>9.67</v>
      </c>
      <c r="H131" s="8">
        <v>0.89470000000000005</v>
      </c>
      <c r="I131" s="9">
        <v>7.2220000000000004</v>
      </c>
    </row>
    <row r="132" spans="1:9" ht="12.45">
      <c r="A132" s="3" t="s">
        <v>38</v>
      </c>
      <c r="B132" s="3" t="s">
        <v>25</v>
      </c>
      <c r="C132" s="12">
        <v>50</v>
      </c>
      <c r="D132" s="7" t="str">
        <f t="shared" si="6"/>
        <v>Fase General(50)</v>
      </c>
      <c r="E132" s="8">
        <v>0.88</v>
      </c>
      <c r="F132" s="13">
        <f ca="1">IFERROR(__xludf.DUMMYFUNCTION("AVERAGE.WEIGHTED(F99:F103,C99:C103)"),6.4415223880597)</f>
        <v>6.4415223880596999</v>
      </c>
      <c r="G132" s="13">
        <f ca="1">IFERROR(__xludf.DUMMYFUNCTION("AVERAGE.WEIGHTED(G99:G103,C99:C103)"),8.00248756218905)</f>
        <v>8.0024875621890494</v>
      </c>
      <c r="H132" s="8">
        <v>0.90239999999999998</v>
      </c>
      <c r="I132" s="9">
        <v>6.22</v>
      </c>
    </row>
    <row r="133" spans="1:9" ht="12.45">
      <c r="A133" s="3" t="s">
        <v>38</v>
      </c>
      <c r="B133" s="3" t="s">
        <v>26</v>
      </c>
      <c r="C133" s="12">
        <v>50</v>
      </c>
      <c r="D133" s="7" t="str">
        <f t="shared" si="6"/>
        <v>Titulan(50)</v>
      </c>
      <c r="E133" s="8">
        <v>1</v>
      </c>
      <c r="F133" s="13"/>
      <c r="G133" s="13"/>
      <c r="H133" s="8"/>
      <c r="I133" s="9"/>
    </row>
    <row r="134" spans="1:9" ht="12.45">
      <c r="C134" s="1"/>
      <c r="D134" s="7"/>
      <c r="E134" s="67" t="s">
        <v>39</v>
      </c>
      <c r="F134" s="68"/>
      <c r="G134" s="68"/>
      <c r="H134" s="68"/>
      <c r="I134" s="68"/>
    </row>
    <row r="135" spans="1:9" ht="12.45">
      <c r="A135" s="3"/>
      <c r="C135" s="1"/>
      <c r="D135" s="7"/>
      <c r="E135" s="67" t="s">
        <v>1</v>
      </c>
      <c r="F135" s="68"/>
      <c r="G135" s="2"/>
      <c r="H135" s="69" t="s">
        <v>2</v>
      </c>
      <c r="I135" s="68"/>
    </row>
    <row r="136" spans="1:9" ht="69.900000000000006">
      <c r="A136" s="3"/>
      <c r="B136" s="3" t="s">
        <v>3</v>
      </c>
      <c r="C136" s="4" t="s">
        <v>4</v>
      </c>
      <c r="D136" s="7"/>
      <c r="E136" s="5" t="s">
        <v>5</v>
      </c>
      <c r="F136" s="5" t="s">
        <v>6</v>
      </c>
      <c r="G136" s="5" t="s">
        <v>7</v>
      </c>
      <c r="H136" s="6" t="s">
        <v>8</v>
      </c>
      <c r="I136" s="5" t="s">
        <v>9</v>
      </c>
    </row>
    <row r="137" spans="1:9" ht="12.45">
      <c r="A137" s="3" t="s">
        <v>40</v>
      </c>
      <c r="B137" s="3" t="s">
        <v>11</v>
      </c>
      <c r="C137" s="7">
        <v>36</v>
      </c>
      <c r="D137" s="7" t="str">
        <f t="shared" ref="D137:D152" si="7">CONCATENATE(B137,"(",C137,")")</f>
        <v>Lengua(36)</v>
      </c>
      <c r="E137" s="8">
        <v>0.69440000000000002</v>
      </c>
      <c r="F137" s="9">
        <v>5.6459999999999999</v>
      </c>
      <c r="G137" s="9">
        <v>6.53</v>
      </c>
      <c r="H137" s="8">
        <v>0.80300000000000005</v>
      </c>
      <c r="I137" s="9">
        <v>6.4340000000000002</v>
      </c>
    </row>
    <row r="138" spans="1:9" ht="12.45">
      <c r="A138" s="3" t="s">
        <v>40</v>
      </c>
      <c r="B138" s="3" t="s">
        <v>12</v>
      </c>
      <c r="C138" s="7">
        <v>36</v>
      </c>
      <c r="D138" s="7" t="str">
        <f t="shared" si="7"/>
        <v>Inglés(36)</v>
      </c>
      <c r="E138" s="8">
        <v>0.80559999999999998</v>
      </c>
      <c r="F138" s="9">
        <v>6.4720000000000004</v>
      </c>
      <c r="G138" s="9">
        <v>6.6</v>
      </c>
      <c r="H138" s="8">
        <v>0.80449999999999999</v>
      </c>
      <c r="I138" s="9">
        <v>6.782</v>
      </c>
    </row>
    <row r="139" spans="1:9" ht="12.45">
      <c r="A139" s="3" t="s">
        <v>40</v>
      </c>
      <c r="B139" s="3" t="s">
        <v>13</v>
      </c>
      <c r="C139" s="7">
        <v>36</v>
      </c>
      <c r="D139" s="7" t="str">
        <f t="shared" si="7"/>
        <v>Historia(36)</v>
      </c>
      <c r="E139" s="8">
        <v>0.58330000000000004</v>
      </c>
      <c r="F139" s="9">
        <v>5.819</v>
      </c>
      <c r="G139" s="9">
        <v>7.07</v>
      </c>
      <c r="H139" s="8">
        <v>0.64149999999999996</v>
      </c>
      <c r="I139" s="9">
        <v>5.7519999999999998</v>
      </c>
    </row>
    <row r="140" spans="1:9" ht="12.45">
      <c r="A140" s="3" t="s">
        <v>40</v>
      </c>
      <c r="B140" s="3" t="s">
        <v>14</v>
      </c>
      <c r="C140" s="7">
        <v>17</v>
      </c>
      <c r="D140" s="7" t="str">
        <f t="shared" si="7"/>
        <v>Mate(17)</v>
      </c>
      <c r="E140" s="8">
        <v>0.88239999999999996</v>
      </c>
      <c r="F140" s="17">
        <v>6.8680000000000003</v>
      </c>
      <c r="G140" s="17">
        <v>7.38</v>
      </c>
      <c r="H140" s="8">
        <v>0.73660000000000003</v>
      </c>
      <c r="I140" s="9">
        <v>6.2439999999999998</v>
      </c>
    </row>
    <row r="141" spans="1:9" ht="12.45">
      <c r="A141" s="3" t="s">
        <v>40</v>
      </c>
      <c r="B141" s="3" t="s">
        <v>15</v>
      </c>
      <c r="C141" s="7">
        <v>20</v>
      </c>
      <c r="D141" s="7" t="str">
        <f t="shared" si="7"/>
        <v>Mate CCSS(20)</v>
      </c>
      <c r="E141" s="8">
        <v>0.7</v>
      </c>
      <c r="F141" s="9">
        <v>5.875</v>
      </c>
      <c r="G141" s="9">
        <v>6</v>
      </c>
      <c r="H141" s="8">
        <v>0.55489999999999995</v>
      </c>
      <c r="I141" s="9">
        <v>5.2619999999999996</v>
      </c>
    </row>
    <row r="142" spans="1:9" ht="12.45">
      <c r="A142" s="3" t="s">
        <v>40</v>
      </c>
      <c r="B142" s="3" t="s">
        <v>16</v>
      </c>
      <c r="C142" s="3">
        <v>17</v>
      </c>
      <c r="D142" s="7" t="str">
        <f t="shared" si="7"/>
        <v>Física(17)</v>
      </c>
      <c r="E142" s="8">
        <v>0.76470000000000005</v>
      </c>
      <c r="F142" s="9">
        <v>6.5880000000000001</v>
      </c>
      <c r="G142" s="9">
        <v>7.62</v>
      </c>
      <c r="H142" s="8">
        <v>0.52800000000000002</v>
      </c>
      <c r="I142" s="9">
        <v>4.9480000000000004</v>
      </c>
    </row>
    <row r="143" spans="1:9" ht="12.45">
      <c r="A143" s="3" t="s">
        <v>40</v>
      </c>
      <c r="B143" s="3" t="s">
        <v>17</v>
      </c>
      <c r="C143" s="3">
        <v>14</v>
      </c>
      <c r="D143" s="7" t="str">
        <f t="shared" si="7"/>
        <v>Química(14)</v>
      </c>
      <c r="E143" s="8">
        <v>1</v>
      </c>
      <c r="F143" s="9">
        <v>7.1790000000000003</v>
      </c>
      <c r="G143" s="9">
        <v>7.52</v>
      </c>
      <c r="H143" s="8">
        <v>0.77290000000000003</v>
      </c>
      <c r="I143" s="9">
        <v>6.6040000000000001</v>
      </c>
    </row>
    <row r="144" spans="1:9" ht="12.45">
      <c r="A144" s="3" t="s">
        <v>40</v>
      </c>
      <c r="B144" s="3" t="s">
        <v>18</v>
      </c>
      <c r="C144" s="3">
        <v>9</v>
      </c>
      <c r="D144" s="7" t="str">
        <f t="shared" si="7"/>
        <v>Biología(9)</v>
      </c>
      <c r="E144" s="8">
        <v>0.88890000000000002</v>
      </c>
      <c r="F144" s="9">
        <v>7.306</v>
      </c>
      <c r="G144" s="9">
        <v>8</v>
      </c>
      <c r="H144" s="8">
        <v>0.78100000000000003</v>
      </c>
      <c r="I144" s="9">
        <v>6.3639999999999999</v>
      </c>
    </row>
    <row r="145" spans="1:9" ht="12.45">
      <c r="A145" s="3" t="s">
        <v>40</v>
      </c>
      <c r="B145" s="3" t="s">
        <v>19</v>
      </c>
      <c r="C145" s="3">
        <v>4</v>
      </c>
      <c r="D145" s="7" t="str">
        <f t="shared" si="7"/>
        <v>Dibujo Técnico(4)</v>
      </c>
      <c r="E145" s="8">
        <v>0.5</v>
      </c>
      <c r="F145" s="9">
        <v>4.3120000000000003</v>
      </c>
      <c r="G145" s="9">
        <v>8.43</v>
      </c>
      <c r="H145" s="8">
        <v>0.4501</v>
      </c>
      <c r="I145" s="9">
        <v>4.7009999999999996</v>
      </c>
    </row>
    <row r="146" spans="1:9" ht="12.45">
      <c r="A146" s="3" t="s">
        <v>40</v>
      </c>
      <c r="B146" s="3" t="s">
        <v>20</v>
      </c>
      <c r="C146" s="3">
        <v>14</v>
      </c>
      <c r="D146" s="7" t="str">
        <f t="shared" si="7"/>
        <v>Economía(14)</v>
      </c>
      <c r="E146" s="8">
        <v>0.64290000000000003</v>
      </c>
      <c r="F146" s="9">
        <v>4.9290000000000003</v>
      </c>
      <c r="G146" s="9">
        <v>6.08</v>
      </c>
      <c r="H146" s="8">
        <v>0.58650000000000002</v>
      </c>
      <c r="I146" s="9">
        <v>5.3979999999999997</v>
      </c>
    </row>
    <row r="147" spans="1:9" ht="12.45">
      <c r="A147" s="3" t="s">
        <v>40</v>
      </c>
      <c r="B147" s="3" t="s">
        <v>21</v>
      </c>
      <c r="C147" s="3">
        <v>10</v>
      </c>
      <c r="D147" s="7" t="str">
        <f t="shared" si="7"/>
        <v>H. Filosofía(10)</v>
      </c>
      <c r="E147" s="8">
        <v>1</v>
      </c>
      <c r="F147" s="9">
        <v>6.556</v>
      </c>
      <c r="G147" s="9">
        <v>7.14</v>
      </c>
      <c r="H147" s="8">
        <v>0.74539999999999995</v>
      </c>
      <c r="I147" s="9">
        <v>6.1520000000000001</v>
      </c>
    </row>
    <row r="148" spans="1:9" ht="12.45">
      <c r="A148" s="3" t="s">
        <v>40</v>
      </c>
      <c r="B148" s="3" t="s">
        <v>22</v>
      </c>
      <c r="C148" s="3">
        <v>4</v>
      </c>
      <c r="D148" s="7" t="str">
        <f t="shared" si="7"/>
        <v>H. Arte(4)</v>
      </c>
      <c r="E148" s="8">
        <v>0.66669999999999996</v>
      </c>
      <c r="F148" s="9">
        <v>6.25</v>
      </c>
      <c r="G148" s="9">
        <v>6.2</v>
      </c>
      <c r="H148" s="8">
        <v>0.76490000000000002</v>
      </c>
      <c r="I148" s="9">
        <v>6.181</v>
      </c>
    </row>
    <row r="149" spans="1:9" ht="12.45">
      <c r="A149" s="3" t="s">
        <v>40</v>
      </c>
      <c r="B149" s="3" t="s">
        <v>23</v>
      </c>
      <c r="C149" s="3">
        <v>12</v>
      </c>
      <c r="D149" s="7" t="str">
        <f t="shared" si="7"/>
        <v>Geografía(12)</v>
      </c>
      <c r="E149" s="8">
        <v>0.5</v>
      </c>
      <c r="F149" s="9">
        <v>4.375</v>
      </c>
      <c r="G149" s="9">
        <v>6.33</v>
      </c>
      <c r="H149" s="8">
        <v>0.54269999999999996</v>
      </c>
      <c r="I149" s="9">
        <v>4.8579999999999997</v>
      </c>
    </row>
    <row r="150" spans="1:9" ht="12.45">
      <c r="A150" s="3" t="s">
        <v>40</v>
      </c>
      <c r="B150" s="3" t="s">
        <v>29</v>
      </c>
      <c r="C150" s="3">
        <v>0</v>
      </c>
      <c r="D150" s="7" t="str">
        <f t="shared" si="7"/>
        <v>Francés(0)</v>
      </c>
      <c r="E150" s="9">
        <v>0</v>
      </c>
      <c r="F150" s="9">
        <v>0</v>
      </c>
      <c r="G150" s="9">
        <v>0</v>
      </c>
      <c r="H150" s="8">
        <v>0.90429999999999999</v>
      </c>
      <c r="I150" s="9">
        <v>6.968</v>
      </c>
    </row>
    <row r="151" spans="1:9" ht="12.45">
      <c r="A151" s="3" t="s">
        <v>40</v>
      </c>
      <c r="B151" s="3" t="s">
        <v>25</v>
      </c>
      <c r="C151" s="12">
        <v>36</v>
      </c>
      <c r="D151" s="7" t="str">
        <f t="shared" si="7"/>
        <v>Fase General(36)</v>
      </c>
      <c r="E151" s="8">
        <v>0.94440000000000002</v>
      </c>
      <c r="F151" s="13">
        <f ca="1">IFERROR(__xludf.DUMMYFUNCTION("AVERAGE.WEIGHTED(F118:F122,C118:C122)"),6.06888275862069)</f>
        <v>6.0688827586206902</v>
      </c>
      <c r="G151" s="13">
        <f ca="1">IFERROR(__xludf.DUMMYFUNCTION("AVERAGE.WEIGHTED(G118:G122,C118:C122)"),6.708)</f>
        <v>6.7080000000000002</v>
      </c>
      <c r="H151" s="8">
        <v>0.90859999999999996</v>
      </c>
      <c r="I151" s="14">
        <v>6.03</v>
      </c>
    </row>
    <row r="152" spans="1:9" ht="12.45">
      <c r="A152" s="3" t="s">
        <v>40</v>
      </c>
      <c r="B152" s="3" t="s">
        <v>26</v>
      </c>
      <c r="C152" s="12">
        <v>54</v>
      </c>
      <c r="D152" s="7" t="str">
        <f t="shared" si="7"/>
        <v>Titulan(54)</v>
      </c>
      <c r="E152" s="8">
        <v>0.66669999999999996</v>
      </c>
      <c r="F152" s="13"/>
      <c r="G152" s="13"/>
      <c r="H152" s="8"/>
      <c r="I152" s="14"/>
    </row>
    <row r="153" spans="1:9" ht="12.45">
      <c r="C153" s="1"/>
      <c r="D153" s="7"/>
      <c r="E153" s="67" t="s">
        <v>41</v>
      </c>
      <c r="F153" s="68"/>
      <c r="G153" s="68"/>
      <c r="H153" s="68"/>
      <c r="I153" s="68"/>
    </row>
    <row r="154" spans="1:9" ht="12.45">
      <c r="C154" s="1"/>
      <c r="D154" s="7"/>
      <c r="E154" s="67" t="s">
        <v>1</v>
      </c>
      <c r="F154" s="68"/>
      <c r="G154" s="2"/>
      <c r="H154" s="69" t="s">
        <v>2</v>
      </c>
      <c r="I154" s="68"/>
    </row>
    <row r="155" spans="1:9" ht="69.900000000000006">
      <c r="B155" s="3" t="s">
        <v>3</v>
      </c>
      <c r="C155" s="4" t="s">
        <v>4</v>
      </c>
      <c r="D155" s="7"/>
      <c r="E155" s="5" t="s">
        <v>5</v>
      </c>
      <c r="F155" s="5" t="s">
        <v>6</v>
      </c>
      <c r="G155" s="5" t="s">
        <v>7</v>
      </c>
      <c r="H155" s="6" t="s">
        <v>8</v>
      </c>
      <c r="I155" s="5" t="s">
        <v>9</v>
      </c>
    </row>
    <row r="156" spans="1:9" ht="12.45">
      <c r="A156" s="3" t="s">
        <v>42</v>
      </c>
      <c r="B156" s="3" t="s">
        <v>11</v>
      </c>
      <c r="C156" s="7">
        <v>31</v>
      </c>
      <c r="D156" s="7" t="str">
        <f t="shared" ref="D156:D171" si="8">CONCATENATE(B156,"(",C156,")")</f>
        <v>Lengua(31)</v>
      </c>
      <c r="E156" s="8">
        <v>0.5806</v>
      </c>
      <c r="F156" s="9">
        <v>4.944</v>
      </c>
      <c r="G156" s="9">
        <v>6.46</v>
      </c>
      <c r="H156" s="8">
        <v>0.74339999999999995</v>
      </c>
      <c r="I156" s="9">
        <v>5.9550000000000001</v>
      </c>
    </row>
    <row r="157" spans="1:9" ht="12.45">
      <c r="A157" s="3" t="s">
        <v>42</v>
      </c>
      <c r="B157" s="3" t="s">
        <v>12</v>
      </c>
      <c r="C157" s="7">
        <v>31</v>
      </c>
      <c r="D157" s="7" t="str">
        <f t="shared" si="8"/>
        <v>Inglés(31)</v>
      </c>
      <c r="E157" s="8">
        <v>0.7419</v>
      </c>
      <c r="F157" s="9">
        <v>6.6609999999999996</v>
      </c>
      <c r="G157" s="9">
        <v>6.62</v>
      </c>
      <c r="H157" s="8">
        <v>0.77900000000000003</v>
      </c>
      <c r="I157" s="9">
        <v>6.57</v>
      </c>
    </row>
    <row r="158" spans="1:9" ht="12.45">
      <c r="A158" s="3" t="s">
        <v>42</v>
      </c>
      <c r="B158" s="3" t="s">
        <v>13</v>
      </c>
      <c r="C158" s="7">
        <v>31</v>
      </c>
      <c r="D158" s="7" t="str">
        <f t="shared" si="8"/>
        <v>Historia(31)</v>
      </c>
      <c r="E158" s="8">
        <v>0.7097</v>
      </c>
      <c r="F158" s="9">
        <v>5.6609999999999996</v>
      </c>
      <c r="G158" s="9">
        <v>7.15</v>
      </c>
      <c r="H158" s="8">
        <v>0.6754</v>
      </c>
      <c r="I158" s="9">
        <v>5.88</v>
      </c>
    </row>
    <row r="159" spans="1:9" ht="12.45">
      <c r="A159" s="3" t="s">
        <v>42</v>
      </c>
      <c r="B159" s="3" t="s">
        <v>14</v>
      </c>
      <c r="C159" s="7">
        <v>18</v>
      </c>
      <c r="D159" s="7" t="str">
        <f t="shared" si="8"/>
        <v>Mate(18)</v>
      </c>
      <c r="E159" s="8">
        <v>0.38890000000000002</v>
      </c>
      <c r="F159" s="17">
        <v>5.0419999999999998</v>
      </c>
      <c r="G159" s="17">
        <v>6.78</v>
      </c>
      <c r="H159" s="8">
        <v>0.66449999999999998</v>
      </c>
      <c r="I159" s="9">
        <v>5.7009999999999996</v>
      </c>
    </row>
    <row r="160" spans="1:9" ht="12.45">
      <c r="A160" s="3" t="s">
        <v>42</v>
      </c>
      <c r="B160" s="3" t="s">
        <v>15</v>
      </c>
      <c r="C160" s="7">
        <v>15</v>
      </c>
      <c r="D160" s="7" t="str">
        <f t="shared" si="8"/>
        <v>Mate CCSS(15)</v>
      </c>
      <c r="E160" s="8">
        <v>1</v>
      </c>
      <c r="F160" s="9">
        <v>7.35</v>
      </c>
      <c r="G160" s="9">
        <v>6.19</v>
      </c>
      <c r="H160" s="8">
        <v>0.83230000000000004</v>
      </c>
      <c r="I160" s="9">
        <v>7.0460000000000003</v>
      </c>
    </row>
    <row r="161" spans="1:9" ht="12.45">
      <c r="A161" s="3" t="s">
        <v>42</v>
      </c>
      <c r="B161" s="3" t="s">
        <v>16</v>
      </c>
      <c r="C161" s="7">
        <v>15</v>
      </c>
      <c r="D161" s="7" t="str">
        <f t="shared" si="8"/>
        <v>Física(15)</v>
      </c>
      <c r="E161" s="8">
        <v>0.5333</v>
      </c>
      <c r="F161" s="9">
        <v>5.95</v>
      </c>
      <c r="G161" s="9">
        <v>7.35</v>
      </c>
      <c r="H161" s="8">
        <v>0.56520000000000004</v>
      </c>
      <c r="I161" s="9">
        <v>5.2549999999999999</v>
      </c>
    </row>
    <row r="162" spans="1:9" ht="12.45">
      <c r="A162" s="3" t="s">
        <v>42</v>
      </c>
      <c r="B162" s="3" t="s">
        <v>17</v>
      </c>
      <c r="C162" s="7">
        <v>14</v>
      </c>
      <c r="D162" s="7" t="str">
        <f t="shared" si="8"/>
        <v>Química(14)</v>
      </c>
      <c r="E162" s="8">
        <v>0.85709999999999997</v>
      </c>
      <c r="F162" s="9">
        <v>6.3929999999999998</v>
      </c>
      <c r="G162" s="9">
        <v>6.57</v>
      </c>
      <c r="H162" s="8">
        <v>0.7198</v>
      </c>
      <c r="I162" s="9">
        <v>6.0940000000000003</v>
      </c>
    </row>
    <row r="163" spans="1:9" ht="12.45">
      <c r="A163" s="3" t="s">
        <v>42</v>
      </c>
      <c r="B163" s="3" t="s">
        <v>18</v>
      </c>
      <c r="C163" s="7">
        <v>9</v>
      </c>
      <c r="D163" s="7" t="str">
        <f t="shared" si="8"/>
        <v>Biología(9)</v>
      </c>
      <c r="E163" s="8">
        <v>0.88890000000000002</v>
      </c>
      <c r="F163" s="9">
        <v>6.7779999999999996</v>
      </c>
      <c r="G163" s="9">
        <v>7.15</v>
      </c>
      <c r="H163" s="8">
        <v>0.70850000000000002</v>
      </c>
      <c r="I163" s="9">
        <v>5.9950000000000001</v>
      </c>
    </row>
    <row r="164" spans="1:9" ht="12.45">
      <c r="A164" s="3" t="s">
        <v>42</v>
      </c>
      <c r="B164" s="3" t="s">
        <v>19</v>
      </c>
      <c r="C164" s="7">
        <v>6</v>
      </c>
      <c r="D164" s="7" t="str">
        <f t="shared" si="8"/>
        <v>Dibujo Técnico(6)</v>
      </c>
      <c r="E164" s="8">
        <v>0.5</v>
      </c>
      <c r="F164" s="9">
        <v>5.9169999999999998</v>
      </c>
      <c r="G164" s="9">
        <v>7.8</v>
      </c>
      <c r="H164" s="8">
        <v>0.6129</v>
      </c>
      <c r="I164" s="9">
        <v>5.5140000000000002</v>
      </c>
    </row>
    <row r="165" spans="1:9" ht="12.45">
      <c r="A165" s="3" t="s">
        <v>42</v>
      </c>
      <c r="B165" s="3" t="s">
        <v>20</v>
      </c>
      <c r="C165" s="7">
        <v>7</v>
      </c>
      <c r="D165" s="7" t="str">
        <f t="shared" si="8"/>
        <v>Economía(7)</v>
      </c>
      <c r="E165" s="8">
        <v>0.85709999999999997</v>
      </c>
      <c r="F165" s="9">
        <v>7.6429999999999998</v>
      </c>
      <c r="G165" s="9">
        <v>6</v>
      </c>
      <c r="H165" s="8">
        <v>0.71009999999999995</v>
      </c>
      <c r="I165" s="9">
        <v>6.1849999999999996</v>
      </c>
    </row>
    <row r="166" spans="1:9" ht="12.45">
      <c r="A166" s="3" t="s">
        <v>42</v>
      </c>
      <c r="B166" s="3" t="s">
        <v>21</v>
      </c>
      <c r="C166" s="7">
        <v>4</v>
      </c>
      <c r="D166" s="7" t="str">
        <f t="shared" si="8"/>
        <v>H. Filosofía(4)</v>
      </c>
      <c r="E166" s="8">
        <v>0</v>
      </c>
      <c r="F166" s="9">
        <v>3.3119999999999998</v>
      </c>
      <c r="G166" s="9">
        <v>6.13</v>
      </c>
      <c r="H166" s="8">
        <v>0.71870000000000001</v>
      </c>
      <c r="I166" s="9">
        <v>6.093</v>
      </c>
    </row>
    <row r="167" spans="1:9" ht="12.45">
      <c r="A167" s="3" t="s">
        <v>42</v>
      </c>
      <c r="B167" s="3" t="s">
        <v>22</v>
      </c>
      <c r="C167" s="7">
        <v>6</v>
      </c>
      <c r="D167" s="7" t="str">
        <f t="shared" si="8"/>
        <v>H. Arte(6)</v>
      </c>
      <c r="E167" s="8">
        <v>0.83330000000000004</v>
      </c>
      <c r="F167" s="9">
        <v>6.5</v>
      </c>
      <c r="G167" s="9">
        <v>7.13</v>
      </c>
      <c r="H167" s="8">
        <v>0.76639999999999997</v>
      </c>
      <c r="I167" s="9">
        <v>6.298</v>
      </c>
    </row>
    <row r="168" spans="1:9" ht="12.45">
      <c r="A168" s="3" t="s">
        <v>42</v>
      </c>
      <c r="B168" s="3" t="s">
        <v>23</v>
      </c>
      <c r="C168" s="7">
        <v>8</v>
      </c>
      <c r="D168" s="7" t="str">
        <f t="shared" si="8"/>
        <v>Geografía(8)</v>
      </c>
      <c r="E168" s="8">
        <v>0.375</v>
      </c>
      <c r="F168" s="9">
        <v>4.75</v>
      </c>
      <c r="G168" s="9">
        <v>6.94</v>
      </c>
      <c r="H168" s="8">
        <v>0.68030000000000002</v>
      </c>
      <c r="I168" s="9">
        <v>5.5279999999999996</v>
      </c>
    </row>
    <row r="169" spans="1:9" ht="12.45">
      <c r="A169" s="3" t="s">
        <v>42</v>
      </c>
      <c r="B169" s="3" t="s">
        <v>29</v>
      </c>
      <c r="C169" s="7">
        <v>0</v>
      </c>
      <c r="D169" s="7" t="str">
        <f t="shared" si="8"/>
        <v>Francés(0)</v>
      </c>
      <c r="E169" s="8">
        <v>0</v>
      </c>
      <c r="F169" s="9">
        <v>0</v>
      </c>
      <c r="G169" s="9">
        <v>0</v>
      </c>
      <c r="H169" s="8">
        <v>0.9032</v>
      </c>
      <c r="I169" s="9">
        <v>7.0510000000000002</v>
      </c>
    </row>
    <row r="170" spans="1:9" ht="12.45">
      <c r="A170" s="3" t="s">
        <v>42</v>
      </c>
      <c r="B170" s="3" t="s">
        <v>25</v>
      </c>
      <c r="C170" s="12">
        <v>31</v>
      </c>
      <c r="D170" s="7" t="str">
        <f t="shared" si="8"/>
        <v>Fase General(31)</v>
      </c>
      <c r="E170" s="8">
        <v>0.9355</v>
      </c>
      <c r="F170" s="13">
        <f ca="1">IFERROR(__xludf.DUMMYFUNCTION("AVERAGE.WEIGHTED(F137:F141,C137:C141)"),5.84326984126984)</f>
        <v>5.8432698412698398</v>
      </c>
      <c r="G170" s="13">
        <f ca="1">IFERROR(__xludf.DUMMYFUNCTION("AVERAGE.WEIGHTED(G137:G141,C137:C141)"),6.68269841269841)</f>
        <v>6.6826984126984099</v>
      </c>
      <c r="H170" s="8">
        <v>0.92259999999999998</v>
      </c>
      <c r="I170" s="14">
        <v>6.11</v>
      </c>
    </row>
    <row r="171" spans="1:9" ht="12.45">
      <c r="A171" s="3" t="s">
        <v>42</v>
      </c>
      <c r="B171" s="3" t="s">
        <v>26</v>
      </c>
      <c r="C171" s="12">
        <v>44</v>
      </c>
      <c r="D171" s="7" t="str">
        <f t="shared" si="8"/>
        <v>Titulan(44)</v>
      </c>
      <c r="E171" s="8">
        <v>0.70450000000000002</v>
      </c>
      <c r="F171" s="13"/>
      <c r="G171" s="13"/>
      <c r="H171" s="8"/>
      <c r="I171" s="14"/>
    </row>
    <row r="172" spans="1:9" ht="12.45">
      <c r="C172" s="1"/>
      <c r="D172" s="7"/>
      <c r="E172" s="67" t="s">
        <v>43</v>
      </c>
      <c r="F172" s="68"/>
      <c r="G172" s="68"/>
      <c r="H172" s="68"/>
      <c r="I172" s="68"/>
    </row>
    <row r="173" spans="1:9" ht="12.45">
      <c r="C173" s="1"/>
      <c r="D173" s="7"/>
      <c r="E173" s="67" t="s">
        <v>1</v>
      </c>
      <c r="F173" s="68"/>
      <c r="G173" s="2"/>
      <c r="H173" s="69" t="s">
        <v>2</v>
      </c>
      <c r="I173" s="68"/>
    </row>
    <row r="174" spans="1:9" ht="69.900000000000006">
      <c r="B174" s="3" t="s">
        <v>3</v>
      </c>
      <c r="C174" s="4" t="s">
        <v>4</v>
      </c>
      <c r="D174" s="7"/>
      <c r="E174" s="5" t="s">
        <v>5</v>
      </c>
      <c r="F174" s="5" t="s">
        <v>6</v>
      </c>
      <c r="G174" s="5" t="s">
        <v>7</v>
      </c>
      <c r="H174" s="6" t="s">
        <v>8</v>
      </c>
      <c r="I174" s="5" t="s">
        <v>9</v>
      </c>
    </row>
    <row r="175" spans="1:9" ht="12.45">
      <c r="A175" s="3" t="s">
        <v>44</v>
      </c>
      <c r="B175" s="3" t="s">
        <v>11</v>
      </c>
      <c r="C175" s="7">
        <v>35</v>
      </c>
      <c r="D175" s="7" t="str">
        <f t="shared" ref="D175:D190" si="9">CONCATENATE(B175,"(",C175,")")</f>
        <v>Lengua(35)</v>
      </c>
      <c r="E175" s="8">
        <v>0.6</v>
      </c>
      <c r="F175" s="9">
        <v>5.5</v>
      </c>
      <c r="G175" s="9">
        <v>6.43</v>
      </c>
      <c r="H175" s="8">
        <v>0.78559999999999997</v>
      </c>
      <c r="I175" s="9">
        <v>6.165</v>
      </c>
    </row>
    <row r="176" spans="1:9" ht="12.45">
      <c r="A176" s="3" t="s">
        <v>44</v>
      </c>
      <c r="B176" s="3" t="s">
        <v>12</v>
      </c>
      <c r="C176" s="7">
        <v>35</v>
      </c>
      <c r="D176" s="7" t="str">
        <f t="shared" si="9"/>
        <v>Inglés(35)</v>
      </c>
      <c r="E176" s="8">
        <v>0.8286</v>
      </c>
      <c r="F176" s="9">
        <v>6.0430000000000001</v>
      </c>
      <c r="G176" s="9">
        <v>6.73</v>
      </c>
      <c r="H176" s="8">
        <v>0.76480000000000004</v>
      </c>
      <c r="I176" s="9">
        <v>6.5209999999999999</v>
      </c>
    </row>
    <row r="177" spans="1:9" ht="12.45">
      <c r="A177" s="3" t="s">
        <v>44</v>
      </c>
      <c r="B177" s="3" t="s">
        <v>13</v>
      </c>
      <c r="C177" s="7">
        <v>35</v>
      </c>
      <c r="D177" s="7" t="str">
        <f t="shared" si="9"/>
        <v>Historia(35)</v>
      </c>
      <c r="E177" s="8">
        <v>0.65710000000000002</v>
      </c>
      <c r="F177" s="9">
        <v>5.4210000000000003</v>
      </c>
      <c r="G177" s="9">
        <v>6.95</v>
      </c>
      <c r="H177" s="8">
        <v>0.63880000000000003</v>
      </c>
      <c r="I177" s="9">
        <v>5.6420000000000003</v>
      </c>
    </row>
    <row r="178" spans="1:9" ht="12.45">
      <c r="A178" s="3" t="s">
        <v>44</v>
      </c>
      <c r="B178" s="3" t="s">
        <v>14</v>
      </c>
      <c r="C178" s="7">
        <v>20</v>
      </c>
      <c r="D178" s="7" t="str">
        <f t="shared" si="9"/>
        <v>Mate(20)</v>
      </c>
      <c r="E178" s="8">
        <v>0.8</v>
      </c>
      <c r="F178" s="17">
        <v>6.9119999999999999</v>
      </c>
      <c r="G178" s="17">
        <v>7</v>
      </c>
      <c r="H178" s="8">
        <v>0.76019999999999999</v>
      </c>
      <c r="I178" s="9">
        <v>6.4980000000000002</v>
      </c>
    </row>
    <row r="179" spans="1:9" ht="12.45">
      <c r="A179" s="3" t="s">
        <v>44</v>
      </c>
      <c r="B179" s="3" t="s">
        <v>15</v>
      </c>
      <c r="C179" s="7">
        <v>16</v>
      </c>
      <c r="D179" s="7" t="str">
        <f t="shared" si="9"/>
        <v>Mate CCSS(16)</v>
      </c>
      <c r="E179" s="8">
        <v>0.875</v>
      </c>
      <c r="F179" s="9">
        <v>7.1719999999999997</v>
      </c>
      <c r="G179" s="9">
        <v>7</v>
      </c>
      <c r="H179" s="8">
        <v>0.58650000000000002</v>
      </c>
      <c r="I179" s="9">
        <v>5.2160000000000002</v>
      </c>
    </row>
    <row r="180" spans="1:9" ht="12.45">
      <c r="A180" s="3" t="s">
        <v>44</v>
      </c>
      <c r="B180" s="3" t="s">
        <v>16</v>
      </c>
      <c r="C180" s="7">
        <v>18</v>
      </c>
      <c r="D180" s="7" t="str">
        <f t="shared" si="9"/>
        <v>Física(18)</v>
      </c>
      <c r="E180" s="8">
        <v>0.77780000000000005</v>
      </c>
      <c r="F180" s="9">
        <v>6.4580000000000002</v>
      </c>
      <c r="G180" s="9">
        <v>6.86</v>
      </c>
      <c r="H180" s="8">
        <v>0.66700000000000004</v>
      </c>
      <c r="I180" s="9">
        <v>5.7220000000000004</v>
      </c>
    </row>
    <row r="181" spans="1:9" ht="12.45">
      <c r="A181" s="3" t="s">
        <v>44</v>
      </c>
      <c r="B181" s="3" t="s">
        <v>17</v>
      </c>
      <c r="C181" s="7">
        <v>11</v>
      </c>
      <c r="D181" s="7" t="str">
        <f t="shared" si="9"/>
        <v>Química(11)</v>
      </c>
      <c r="E181" s="8">
        <v>0.54549999999999998</v>
      </c>
      <c r="F181" s="9">
        <v>4.5229999999999997</v>
      </c>
      <c r="G181" s="9">
        <v>6.95</v>
      </c>
      <c r="H181" s="8">
        <v>0.53610000000000002</v>
      </c>
      <c r="I181" s="9">
        <v>4.9320000000000004</v>
      </c>
    </row>
    <row r="182" spans="1:9" ht="12.45">
      <c r="A182" s="3" t="s">
        <v>44</v>
      </c>
      <c r="B182" s="3" t="s">
        <v>18</v>
      </c>
      <c r="C182" s="7">
        <v>6</v>
      </c>
      <c r="D182" s="7" t="str">
        <f t="shared" si="9"/>
        <v>Biología(6)</v>
      </c>
      <c r="E182" s="8">
        <v>1</v>
      </c>
      <c r="F182" s="9">
        <v>7.2919999999999998</v>
      </c>
      <c r="G182" s="9">
        <v>7.09</v>
      </c>
      <c r="H182" s="8">
        <v>0.86329999999999996</v>
      </c>
      <c r="I182" s="9">
        <v>6.9640000000000004</v>
      </c>
    </row>
    <row r="183" spans="1:9" ht="12.45">
      <c r="A183" s="3" t="s">
        <v>44</v>
      </c>
      <c r="B183" s="3" t="s">
        <v>19</v>
      </c>
      <c r="C183" s="7">
        <v>2</v>
      </c>
      <c r="D183" s="7" t="str">
        <f t="shared" si="9"/>
        <v>Dibujo Técnico(2)</v>
      </c>
      <c r="E183" s="8">
        <v>0.5</v>
      </c>
      <c r="F183" s="9">
        <v>4.625</v>
      </c>
      <c r="G183" s="9">
        <v>7.55</v>
      </c>
      <c r="H183" s="8">
        <v>0.44819999999999999</v>
      </c>
      <c r="I183" s="9">
        <v>4.51</v>
      </c>
    </row>
    <row r="184" spans="1:9" ht="12.45">
      <c r="A184" s="3" t="s">
        <v>44</v>
      </c>
      <c r="B184" s="3" t="s">
        <v>20</v>
      </c>
      <c r="C184" s="7">
        <v>12</v>
      </c>
      <c r="D184" s="7" t="str">
        <f t="shared" si="9"/>
        <v>Economía(12)</v>
      </c>
      <c r="E184" s="8">
        <v>1</v>
      </c>
      <c r="F184" s="9">
        <v>7.5830000000000002</v>
      </c>
      <c r="G184" s="9">
        <v>6.72</v>
      </c>
      <c r="H184" s="8">
        <v>0.69869999999999999</v>
      </c>
      <c r="I184" s="9">
        <v>5.7930000000000001</v>
      </c>
    </row>
    <row r="185" spans="1:9" ht="12.45">
      <c r="A185" s="3" t="s">
        <v>44</v>
      </c>
      <c r="B185" s="3" t="s">
        <v>21</v>
      </c>
      <c r="C185" s="7">
        <v>13</v>
      </c>
      <c r="D185" s="7" t="str">
        <f t="shared" si="9"/>
        <v>H. Filosofía(13)</v>
      </c>
      <c r="E185" s="8">
        <v>0.76919999999999999</v>
      </c>
      <c r="F185" s="9">
        <v>6.423</v>
      </c>
      <c r="G185" s="9">
        <v>7.37</v>
      </c>
      <c r="H185" s="8">
        <v>0.7077</v>
      </c>
      <c r="I185" s="9">
        <v>5.97</v>
      </c>
    </row>
    <row r="186" spans="1:9" ht="12.45">
      <c r="A186" s="3" t="s">
        <v>44</v>
      </c>
      <c r="B186" s="3" t="s">
        <v>22</v>
      </c>
      <c r="C186" s="7">
        <v>0</v>
      </c>
      <c r="D186" s="7" t="str">
        <f t="shared" si="9"/>
        <v>H. Arte(0)</v>
      </c>
      <c r="E186" s="8">
        <v>0</v>
      </c>
      <c r="F186" s="9">
        <v>0</v>
      </c>
      <c r="G186" s="9">
        <v>0</v>
      </c>
      <c r="H186" s="8">
        <v>0.71009999999999995</v>
      </c>
      <c r="I186" s="9">
        <v>5.6859999999999999</v>
      </c>
    </row>
    <row r="187" spans="1:9" ht="12.45">
      <c r="A187" s="3" t="s">
        <v>44</v>
      </c>
      <c r="B187" s="3" t="s">
        <v>23</v>
      </c>
      <c r="C187" s="7">
        <v>3</v>
      </c>
      <c r="D187" s="7" t="str">
        <f t="shared" si="9"/>
        <v>Geografía(3)</v>
      </c>
      <c r="E187" s="8">
        <v>0.66669999999999996</v>
      </c>
      <c r="F187" s="9">
        <v>5.5830000000000002</v>
      </c>
      <c r="G187" s="9">
        <v>6.72</v>
      </c>
      <c r="H187" s="8">
        <v>0.74480000000000002</v>
      </c>
      <c r="I187" s="9">
        <v>6.016</v>
      </c>
    </row>
    <row r="188" spans="1:9" ht="12.45">
      <c r="A188" s="3" t="s">
        <v>44</v>
      </c>
      <c r="B188" s="3" t="s">
        <v>29</v>
      </c>
      <c r="C188" s="7">
        <v>0</v>
      </c>
      <c r="D188" s="7" t="str">
        <f t="shared" si="9"/>
        <v>Francés(0)</v>
      </c>
      <c r="E188" s="8">
        <v>0</v>
      </c>
      <c r="F188" s="9">
        <v>0</v>
      </c>
      <c r="G188" s="9">
        <v>0</v>
      </c>
      <c r="H188" s="8">
        <v>1</v>
      </c>
      <c r="I188" s="9">
        <v>7.3529999999999998</v>
      </c>
    </row>
    <row r="189" spans="1:9" ht="12.45">
      <c r="A189" s="3" t="s">
        <v>44</v>
      </c>
      <c r="B189" s="3" t="s">
        <v>25</v>
      </c>
      <c r="C189" s="18">
        <v>35</v>
      </c>
      <c r="D189" s="7" t="str">
        <f t="shared" si="9"/>
        <v>Fase General(35)</v>
      </c>
      <c r="E189" s="8">
        <v>0.94289999999999996</v>
      </c>
      <c r="F189" s="13">
        <f ca="1">IFERROR(__xludf.DUMMYFUNCTION("AVERAGE.WEIGHTED(F156:F160,C156:C160)"),6.0051914893617)</f>
        <v>6.0051914893617004</v>
      </c>
      <c r="G189" s="13">
        <f ca="1">IFERROR(__xludf.DUMMYFUNCTION("AVERAGE.WEIGHTED(G156:G160,C156:C160)"),6.77907801418439)</f>
        <v>6.7790780141843898</v>
      </c>
      <c r="H189" s="8">
        <v>0.88959999999999995</v>
      </c>
      <c r="I189" s="9">
        <v>5.97</v>
      </c>
    </row>
    <row r="190" spans="1:9" ht="12.45">
      <c r="A190" s="3" t="s">
        <v>44</v>
      </c>
      <c r="B190" s="3" t="s">
        <v>26</v>
      </c>
      <c r="C190" s="18">
        <v>45</v>
      </c>
      <c r="D190" s="7" t="str">
        <f t="shared" si="9"/>
        <v>Titulan(45)</v>
      </c>
      <c r="E190" s="8">
        <v>0.77780000000000005</v>
      </c>
      <c r="F190" s="13"/>
      <c r="G190" s="13"/>
      <c r="H190" s="8"/>
      <c r="I190" s="9"/>
    </row>
    <row r="191" spans="1:9" ht="12.45">
      <c r="C191" s="19"/>
      <c r="D191" s="19"/>
      <c r="H191" s="20"/>
    </row>
    <row r="192" spans="1:9" ht="12.45">
      <c r="C192" s="19"/>
      <c r="D192" s="19"/>
      <c r="H192" s="20"/>
    </row>
    <row r="193" spans="3:8" ht="12.45">
      <c r="C193" s="19"/>
      <c r="D193" s="19"/>
      <c r="H193" s="20"/>
    </row>
    <row r="194" spans="3:8" ht="12.45">
      <c r="C194" s="19"/>
      <c r="D194" s="19"/>
      <c r="H194" s="20"/>
    </row>
    <row r="195" spans="3:8" ht="12.45">
      <c r="C195" s="19"/>
      <c r="D195" s="19"/>
      <c r="H195" s="20"/>
    </row>
    <row r="196" spans="3:8" ht="12.45">
      <c r="C196" s="19"/>
      <c r="D196" s="19"/>
      <c r="H196" s="20"/>
    </row>
    <row r="197" spans="3:8" ht="12.45">
      <c r="C197" s="19"/>
      <c r="D197" s="19"/>
      <c r="H197" s="20"/>
    </row>
    <row r="198" spans="3:8" ht="12.45">
      <c r="C198" s="19"/>
      <c r="D198" s="19"/>
      <c r="H198" s="20"/>
    </row>
    <row r="199" spans="3:8" ht="12.45">
      <c r="C199" s="19"/>
      <c r="D199" s="19"/>
      <c r="H199" s="20"/>
    </row>
    <row r="200" spans="3:8" ht="12.45">
      <c r="C200" s="19"/>
      <c r="D200" s="19"/>
      <c r="H200" s="20"/>
    </row>
    <row r="201" spans="3:8" ht="12.45">
      <c r="C201" s="19"/>
      <c r="D201" s="19"/>
      <c r="H201" s="20"/>
    </row>
    <row r="202" spans="3:8" ht="12.45">
      <c r="C202" s="19"/>
      <c r="D202" s="19"/>
      <c r="H202" s="20"/>
    </row>
    <row r="203" spans="3:8" ht="12.45">
      <c r="C203" s="19"/>
      <c r="D203" s="19"/>
      <c r="H203" s="20"/>
    </row>
    <row r="204" spans="3:8" ht="12.45">
      <c r="C204" s="19"/>
      <c r="D204" s="19"/>
      <c r="H204" s="20"/>
    </row>
    <row r="205" spans="3:8" ht="12.45">
      <c r="C205" s="19"/>
      <c r="D205" s="19"/>
      <c r="H205" s="20"/>
    </row>
    <row r="206" spans="3:8" ht="12.45">
      <c r="C206" s="19"/>
      <c r="D206" s="19"/>
      <c r="H206" s="20"/>
    </row>
    <row r="207" spans="3:8" ht="12.45">
      <c r="C207" s="19"/>
      <c r="D207" s="19"/>
      <c r="H207" s="20"/>
    </row>
    <row r="208" spans="3:8" ht="12.45">
      <c r="C208" s="19"/>
      <c r="D208" s="19"/>
      <c r="H208" s="20"/>
    </row>
    <row r="209" spans="3:8" ht="12.45">
      <c r="C209" s="19"/>
      <c r="D209" s="19"/>
      <c r="H209" s="20"/>
    </row>
    <row r="210" spans="3:8" ht="12.45">
      <c r="C210" s="19"/>
      <c r="D210" s="19"/>
      <c r="H210" s="20"/>
    </row>
    <row r="211" spans="3:8" ht="12.45">
      <c r="C211" s="19"/>
      <c r="D211" s="19"/>
      <c r="H211" s="20"/>
    </row>
    <row r="212" spans="3:8" ht="12.45">
      <c r="C212" s="19"/>
      <c r="D212" s="19"/>
      <c r="H212" s="20"/>
    </row>
    <row r="213" spans="3:8" ht="12.45">
      <c r="C213" s="19"/>
      <c r="D213" s="19"/>
      <c r="H213" s="20"/>
    </row>
    <row r="214" spans="3:8" ht="12.45">
      <c r="C214" s="19"/>
      <c r="D214" s="19"/>
      <c r="H214" s="20"/>
    </row>
    <row r="215" spans="3:8" ht="12.45">
      <c r="C215" s="19"/>
      <c r="D215" s="19"/>
      <c r="H215" s="20"/>
    </row>
    <row r="216" spans="3:8" ht="12.45">
      <c r="C216" s="19"/>
      <c r="D216" s="19"/>
      <c r="H216" s="20"/>
    </row>
    <row r="217" spans="3:8" ht="12.45">
      <c r="C217" s="19"/>
      <c r="D217" s="19"/>
      <c r="H217" s="20"/>
    </row>
    <row r="218" spans="3:8" ht="12.45">
      <c r="C218" s="19"/>
      <c r="D218" s="19"/>
      <c r="H218" s="20"/>
    </row>
    <row r="219" spans="3:8" ht="12.45">
      <c r="C219" s="19"/>
      <c r="D219" s="19"/>
      <c r="H219" s="20"/>
    </row>
    <row r="220" spans="3:8" ht="12.45">
      <c r="C220" s="19"/>
      <c r="D220" s="19"/>
      <c r="H220" s="20"/>
    </row>
    <row r="221" spans="3:8" ht="12.45">
      <c r="C221" s="19"/>
      <c r="D221" s="19"/>
      <c r="H221" s="20"/>
    </row>
    <row r="222" spans="3:8" ht="12.45">
      <c r="C222" s="19"/>
      <c r="D222" s="19"/>
      <c r="H222" s="20"/>
    </row>
    <row r="223" spans="3:8" ht="12.45">
      <c r="C223" s="19"/>
      <c r="D223" s="19"/>
      <c r="H223" s="20"/>
    </row>
    <row r="224" spans="3:8" ht="12.45">
      <c r="C224" s="19"/>
      <c r="D224" s="19"/>
      <c r="H224" s="20"/>
    </row>
    <row r="225" spans="3:8" ht="12.45">
      <c r="C225" s="19"/>
      <c r="D225" s="19"/>
      <c r="H225" s="20"/>
    </row>
    <row r="226" spans="3:8" ht="12.45">
      <c r="C226" s="19"/>
      <c r="D226" s="19"/>
      <c r="H226" s="20"/>
    </row>
    <row r="227" spans="3:8" ht="12.45">
      <c r="C227" s="19"/>
      <c r="D227" s="19"/>
      <c r="H227" s="20"/>
    </row>
    <row r="228" spans="3:8" ht="12.45">
      <c r="C228" s="19"/>
      <c r="D228" s="19"/>
      <c r="H228" s="20"/>
    </row>
    <row r="229" spans="3:8" ht="12.45">
      <c r="C229" s="19"/>
      <c r="D229" s="19"/>
      <c r="H229" s="20"/>
    </row>
    <row r="230" spans="3:8" ht="12.45">
      <c r="C230" s="19"/>
      <c r="D230" s="19"/>
      <c r="H230" s="20"/>
    </row>
    <row r="231" spans="3:8" ht="12.45">
      <c r="C231" s="19"/>
      <c r="D231" s="19"/>
      <c r="H231" s="20"/>
    </row>
    <row r="232" spans="3:8" ht="12.45">
      <c r="C232" s="19"/>
      <c r="D232" s="19"/>
      <c r="H232" s="20"/>
    </row>
    <row r="233" spans="3:8" ht="12.45">
      <c r="C233" s="19"/>
      <c r="D233" s="19"/>
      <c r="H233" s="20"/>
    </row>
    <row r="234" spans="3:8" ht="12.45">
      <c r="C234" s="19"/>
      <c r="D234" s="19"/>
      <c r="H234" s="20"/>
    </row>
    <row r="235" spans="3:8" ht="12.45">
      <c r="C235" s="19"/>
      <c r="D235" s="19"/>
      <c r="H235" s="20"/>
    </row>
    <row r="236" spans="3:8" ht="12.45">
      <c r="C236" s="19"/>
      <c r="D236" s="19"/>
      <c r="H236" s="20"/>
    </row>
    <row r="237" spans="3:8" ht="12.45">
      <c r="C237" s="19"/>
      <c r="D237" s="19"/>
      <c r="H237" s="20"/>
    </row>
    <row r="238" spans="3:8" ht="12.45">
      <c r="C238" s="19"/>
      <c r="D238" s="19"/>
      <c r="H238" s="20"/>
    </row>
    <row r="239" spans="3:8" ht="12.45">
      <c r="C239" s="19"/>
      <c r="D239" s="19"/>
      <c r="H239" s="20"/>
    </row>
    <row r="240" spans="3:8" ht="12.45">
      <c r="C240" s="19"/>
      <c r="D240" s="19"/>
      <c r="H240" s="20"/>
    </row>
    <row r="241" spans="3:8" ht="12.45">
      <c r="C241" s="19"/>
      <c r="D241" s="19"/>
      <c r="H241" s="20"/>
    </row>
    <row r="242" spans="3:8" ht="12.45">
      <c r="C242" s="19"/>
      <c r="D242" s="19"/>
      <c r="H242" s="20"/>
    </row>
    <row r="243" spans="3:8" ht="12.45">
      <c r="C243" s="19"/>
      <c r="D243" s="19"/>
      <c r="H243" s="20"/>
    </row>
    <row r="244" spans="3:8" ht="12.45">
      <c r="C244" s="19"/>
      <c r="D244" s="19"/>
      <c r="H244" s="20"/>
    </row>
    <row r="245" spans="3:8" ht="12.45">
      <c r="C245" s="19"/>
      <c r="D245" s="19"/>
      <c r="H245" s="20"/>
    </row>
    <row r="246" spans="3:8" ht="12.45">
      <c r="C246" s="19"/>
      <c r="D246" s="19"/>
      <c r="H246" s="20"/>
    </row>
    <row r="247" spans="3:8" ht="12.45">
      <c r="C247" s="19"/>
      <c r="D247" s="19"/>
      <c r="H247" s="20"/>
    </row>
    <row r="248" spans="3:8" ht="12.45">
      <c r="C248" s="19"/>
      <c r="D248" s="19"/>
      <c r="H248" s="20"/>
    </row>
    <row r="249" spans="3:8" ht="12.45">
      <c r="C249" s="19"/>
      <c r="D249" s="19"/>
      <c r="H249" s="20"/>
    </row>
    <row r="250" spans="3:8" ht="12.45">
      <c r="C250" s="19"/>
      <c r="D250" s="19"/>
      <c r="H250" s="20"/>
    </row>
    <row r="251" spans="3:8" ht="12.45">
      <c r="C251" s="19"/>
      <c r="D251" s="19"/>
      <c r="H251" s="20"/>
    </row>
    <row r="252" spans="3:8" ht="12.45">
      <c r="C252" s="19"/>
      <c r="D252" s="19"/>
      <c r="H252" s="20"/>
    </row>
    <row r="253" spans="3:8" ht="12.45">
      <c r="C253" s="19"/>
      <c r="D253" s="19"/>
      <c r="H253" s="20"/>
    </row>
    <row r="254" spans="3:8" ht="12.45">
      <c r="C254" s="19"/>
      <c r="D254" s="19"/>
      <c r="H254" s="20"/>
    </row>
    <row r="255" spans="3:8" ht="12.45">
      <c r="C255" s="19"/>
      <c r="D255" s="19"/>
      <c r="H255" s="20"/>
    </row>
    <row r="256" spans="3:8" ht="12.45">
      <c r="C256" s="19"/>
      <c r="D256" s="19"/>
      <c r="H256" s="20"/>
    </row>
    <row r="257" spans="3:8" ht="12.45">
      <c r="C257" s="19"/>
      <c r="D257" s="19"/>
      <c r="H257" s="20"/>
    </row>
    <row r="258" spans="3:8" ht="12.45">
      <c r="C258" s="19"/>
      <c r="D258" s="19"/>
      <c r="H258" s="20"/>
    </row>
    <row r="259" spans="3:8" ht="12.45">
      <c r="C259" s="19"/>
      <c r="D259" s="19"/>
      <c r="H259" s="20"/>
    </row>
    <row r="260" spans="3:8" ht="12.45">
      <c r="C260" s="19"/>
      <c r="D260" s="19"/>
      <c r="H260" s="20"/>
    </row>
    <row r="261" spans="3:8" ht="12.45">
      <c r="C261" s="19"/>
      <c r="D261" s="19"/>
      <c r="H261" s="20"/>
    </row>
    <row r="262" spans="3:8" ht="12.45">
      <c r="C262" s="19"/>
      <c r="D262" s="19"/>
      <c r="H262" s="20"/>
    </row>
    <row r="263" spans="3:8" ht="12.45">
      <c r="C263" s="19"/>
      <c r="D263" s="19"/>
      <c r="H263" s="20"/>
    </row>
    <row r="264" spans="3:8" ht="12.45">
      <c r="C264" s="19"/>
      <c r="D264" s="19"/>
      <c r="H264" s="20"/>
    </row>
    <row r="265" spans="3:8" ht="12.45">
      <c r="C265" s="19"/>
      <c r="D265" s="19"/>
      <c r="H265" s="20"/>
    </row>
    <row r="266" spans="3:8" ht="12.45">
      <c r="C266" s="19"/>
      <c r="D266" s="19"/>
      <c r="H266" s="20"/>
    </row>
    <row r="267" spans="3:8" ht="12.45">
      <c r="C267" s="19"/>
      <c r="D267" s="19"/>
      <c r="H267" s="20"/>
    </row>
    <row r="268" spans="3:8" ht="12.45">
      <c r="C268" s="19"/>
      <c r="D268" s="19"/>
      <c r="H268" s="20"/>
    </row>
    <row r="269" spans="3:8" ht="12.45">
      <c r="C269" s="19"/>
      <c r="D269" s="19"/>
      <c r="H269" s="20"/>
    </row>
    <row r="270" spans="3:8" ht="12.45">
      <c r="C270" s="19"/>
      <c r="D270" s="19"/>
      <c r="H270" s="20"/>
    </row>
    <row r="271" spans="3:8" ht="12.45">
      <c r="C271" s="19"/>
      <c r="D271" s="19"/>
      <c r="H271" s="20"/>
    </row>
    <row r="272" spans="3:8" ht="12.45">
      <c r="C272" s="19"/>
      <c r="D272" s="19"/>
      <c r="H272" s="20"/>
    </row>
    <row r="273" spans="3:8" ht="12.45">
      <c r="C273" s="19"/>
      <c r="D273" s="19"/>
      <c r="H273" s="20"/>
    </row>
    <row r="274" spans="3:8" ht="12.45">
      <c r="C274" s="19"/>
      <c r="D274" s="19"/>
      <c r="H274" s="20"/>
    </row>
    <row r="275" spans="3:8" ht="12.45">
      <c r="C275" s="19"/>
      <c r="D275" s="19"/>
      <c r="H275" s="20"/>
    </row>
    <row r="276" spans="3:8" ht="12.45">
      <c r="C276" s="19"/>
      <c r="D276" s="19"/>
      <c r="H276" s="20"/>
    </row>
    <row r="277" spans="3:8" ht="12.45">
      <c r="C277" s="19"/>
      <c r="D277" s="19"/>
      <c r="H277" s="20"/>
    </row>
    <row r="278" spans="3:8" ht="12.45">
      <c r="C278" s="19"/>
      <c r="D278" s="19"/>
      <c r="H278" s="20"/>
    </row>
    <row r="279" spans="3:8" ht="12.45">
      <c r="C279" s="19"/>
      <c r="D279" s="19"/>
      <c r="H279" s="20"/>
    </row>
    <row r="280" spans="3:8" ht="12.45">
      <c r="C280" s="19"/>
      <c r="D280" s="19"/>
      <c r="H280" s="20"/>
    </row>
    <row r="281" spans="3:8" ht="12.45">
      <c r="C281" s="19"/>
      <c r="D281" s="19"/>
      <c r="H281" s="20"/>
    </row>
    <row r="282" spans="3:8" ht="12.45">
      <c r="C282" s="19"/>
      <c r="D282" s="19"/>
      <c r="H282" s="20"/>
    </row>
    <row r="283" spans="3:8" ht="12.45">
      <c r="C283" s="19"/>
      <c r="D283" s="19"/>
      <c r="H283" s="20"/>
    </row>
    <row r="284" spans="3:8" ht="12.45">
      <c r="C284" s="19"/>
      <c r="D284" s="19"/>
      <c r="H284" s="20"/>
    </row>
    <row r="285" spans="3:8" ht="12.45">
      <c r="C285" s="19"/>
      <c r="D285" s="19"/>
      <c r="H285" s="20"/>
    </row>
    <row r="286" spans="3:8" ht="12.45">
      <c r="C286" s="19"/>
      <c r="D286" s="19"/>
      <c r="H286" s="20"/>
    </row>
    <row r="287" spans="3:8" ht="12.45">
      <c r="C287" s="19"/>
      <c r="D287" s="19"/>
      <c r="H287" s="20"/>
    </row>
    <row r="288" spans="3:8" ht="12.45">
      <c r="C288" s="19"/>
      <c r="D288" s="19"/>
      <c r="H288" s="20"/>
    </row>
    <row r="289" spans="3:8" ht="12.45">
      <c r="C289" s="19"/>
      <c r="D289" s="19"/>
      <c r="H289" s="20"/>
    </row>
    <row r="290" spans="3:8" ht="12.45">
      <c r="C290" s="19"/>
      <c r="D290" s="19"/>
      <c r="H290" s="20"/>
    </row>
    <row r="291" spans="3:8" ht="12.45">
      <c r="C291" s="19"/>
      <c r="D291" s="19"/>
      <c r="H291" s="20"/>
    </row>
    <row r="292" spans="3:8" ht="12.45">
      <c r="C292" s="19"/>
      <c r="D292" s="19"/>
      <c r="H292" s="20"/>
    </row>
    <row r="293" spans="3:8" ht="12.45">
      <c r="C293" s="19"/>
      <c r="D293" s="19"/>
      <c r="H293" s="20"/>
    </row>
    <row r="294" spans="3:8" ht="12.45">
      <c r="C294" s="19"/>
      <c r="D294" s="19"/>
      <c r="H294" s="20"/>
    </row>
    <row r="295" spans="3:8" ht="12.45">
      <c r="C295" s="19"/>
      <c r="D295" s="19"/>
      <c r="H295" s="20"/>
    </row>
    <row r="296" spans="3:8" ht="12.45">
      <c r="C296" s="19"/>
      <c r="D296" s="19"/>
      <c r="H296" s="20"/>
    </row>
    <row r="297" spans="3:8" ht="12.45">
      <c r="C297" s="19"/>
      <c r="D297" s="19"/>
      <c r="H297" s="20"/>
    </row>
    <row r="298" spans="3:8" ht="12.45">
      <c r="C298" s="19"/>
      <c r="D298" s="19"/>
      <c r="H298" s="20"/>
    </row>
    <row r="299" spans="3:8" ht="12.45">
      <c r="C299" s="19"/>
      <c r="D299" s="19"/>
      <c r="H299" s="20"/>
    </row>
    <row r="300" spans="3:8" ht="12.45">
      <c r="C300" s="19"/>
      <c r="D300" s="19"/>
      <c r="H300" s="20"/>
    </row>
    <row r="301" spans="3:8" ht="12.45">
      <c r="C301" s="19"/>
      <c r="D301" s="19"/>
      <c r="H301" s="20"/>
    </row>
    <row r="302" spans="3:8" ht="12.45">
      <c r="C302" s="19"/>
      <c r="D302" s="19"/>
      <c r="H302" s="20"/>
    </row>
    <row r="303" spans="3:8" ht="12.45">
      <c r="C303" s="19"/>
      <c r="D303" s="19"/>
      <c r="H303" s="20"/>
    </row>
    <row r="304" spans="3:8" ht="12.45">
      <c r="C304" s="19"/>
      <c r="D304" s="19"/>
      <c r="H304" s="20"/>
    </row>
    <row r="305" spans="3:8" ht="12.45">
      <c r="C305" s="19"/>
      <c r="D305" s="19"/>
      <c r="H305" s="20"/>
    </row>
    <row r="306" spans="3:8" ht="12.45">
      <c r="C306" s="19"/>
      <c r="D306" s="19"/>
      <c r="H306" s="20"/>
    </row>
    <row r="307" spans="3:8" ht="12.45">
      <c r="C307" s="19"/>
      <c r="D307" s="19"/>
      <c r="H307" s="20"/>
    </row>
    <row r="308" spans="3:8" ht="12.45">
      <c r="C308" s="19"/>
      <c r="D308" s="19"/>
      <c r="H308" s="20"/>
    </row>
    <row r="309" spans="3:8" ht="12.45">
      <c r="C309" s="19"/>
      <c r="D309" s="19"/>
      <c r="H309" s="20"/>
    </row>
    <row r="310" spans="3:8" ht="12.45">
      <c r="C310" s="19"/>
      <c r="D310" s="19"/>
      <c r="H310" s="20"/>
    </row>
    <row r="311" spans="3:8" ht="12.45">
      <c r="C311" s="19"/>
      <c r="D311" s="19"/>
      <c r="H311" s="20"/>
    </row>
    <row r="312" spans="3:8" ht="12.45">
      <c r="C312" s="19"/>
      <c r="D312" s="19"/>
      <c r="H312" s="20"/>
    </row>
    <row r="313" spans="3:8" ht="12.45">
      <c r="C313" s="19"/>
      <c r="D313" s="19"/>
      <c r="H313" s="20"/>
    </row>
    <row r="314" spans="3:8" ht="12.45">
      <c r="C314" s="19"/>
      <c r="D314" s="19"/>
      <c r="H314" s="20"/>
    </row>
    <row r="315" spans="3:8" ht="12.45">
      <c r="C315" s="19"/>
      <c r="D315" s="19"/>
      <c r="H315" s="20"/>
    </row>
    <row r="316" spans="3:8" ht="12.45">
      <c r="C316" s="19"/>
      <c r="D316" s="19"/>
      <c r="H316" s="20"/>
    </row>
    <row r="317" spans="3:8" ht="12.45">
      <c r="C317" s="19"/>
      <c r="D317" s="19"/>
      <c r="H317" s="20"/>
    </row>
    <row r="318" spans="3:8" ht="12.45">
      <c r="C318" s="19"/>
      <c r="D318" s="19"/>
      <c r="H318" s="20"/>
    </row>
    <row r="319" spans="3:8" ht="12.45">
      <c r="C319" s="19"/>
      <c r="D319" s="19"/>
      <c r="H319" s="20"/>
    </row>
    <row r="320" spans="3:8" ht="12.45">
      <c r="C320" s="19"/>
      <c r="D320" s="19"/>
      <c r="H320" s="20"/>
    </row>
    <row r="321" spans="3:8" ht="12.45">
      <c r="C321" s="19"/>
      <c r="D321" s="19"/>
      <c r="H321" s="20"/>
    </row>
    <row r="322" spans="3:8" ht="12.45">
      <c r="C322" s="19"/>
      <c r="D322" s="19"/>
      <c r="H322" s="20"/>
    </row>
    <row r="323" spans="3:8" ht="12.45">
      <c r="C323" s="19"/>
      <c r="D323" s="19"/>
      <c r="H323" s="20"/>
    </row>
    <row r="324" spans="3:8" ht="12.45">
      <c r="C324" s="19"/>
      <c r="D324" s="19"/>
      <c r="H324" s="20"/>
    </row>
    <row r="325" spans="3:8" ht="12.45">
      <c r="C325" s="19"/>
      <c r="D325" s="19"/>
      <c r="H325" s="20"/>
    </row>
    <row r="326" spans="3:8" ht="12.45">
      <c r="C326" s="19"/>
      <c r="D326" s="19"/>
      <c r="H326" s="20"/>
    </row>
    <row r="327" spans="3:8" ht="12.45">
      <c r="C327" s="19"/>
      <c r="D327" s="19"/>
      <c r="H327" s="20"/>
    </row>
    <row r="328" spans="3:8" ht="12.45">
      <c r="C328" s="19"/>
      <c r="D328" s="19"/>
      <c r="H328" s="20"/>
    </row>
    <row r="329" spans="3:8" ht="12.45">
      <c r="C329" s="19"/>
      <c r="D329" s="19"/>
      <c r="H329" s="20"/>
    </row>
    <row r="330" spans="3:8" ht="12.45">
      <c r="C330" s="19"/>
      <c r="D330" s="19"/>
      <c r="H330" s="20"/>
    </row>
    <row r="331" spans="3:8" ht="12.45">
      <c r="C331" s="19"/>
      <c r="D331" s="19"/>
      <c r="H331" s="20"/>
    </row>
    <row r="332" spans="3:8" ht="12.45">
      <c r="C332" s="19"/>
      <c r="D332" s="19"/>
      <c r="H332" s="20"/>
    </row>
    <row r="333" spans="3:8" ht="12.45">
      <c r="C333" s="19"/>
      <c r="D333" s="19"/>
      <c r="H333" s="20"/>
    </row>
    <row r="334" spans="3:8" ht="12.45">
      <c r="C334" s="19"/>
      <c r="D334" s="19"/>
      <c r="H334" s="20"/>
    </row>
    <row r="335" spans="3:8" ht="12.45">
      <c r="C335" s="19"/>
      <c r="D335" s="19"/>
      <c r="H335" s="20"/>
    </row>
    <row r="336" spans="3:8" ht="12.45">
      <c r="C336" s="19"/>
      <c r="D336" s="19"/>
      <c r="H336" s="20"/>
    </row>
    <row r="337" spans="3:8" ht="12.45">
      <c r="C337" s="19"/>
      <c r="D337" s="19"/>
      <c r="H337" s="20"/>
    </row>
    <row r="338" spans="3:8" ht="12.45">
      <c r="C338" s="19"/>
      <c r="D338" s="19"/>
      <c r="H338" s="20"/>
    </row>
    <row r="339" spans="3:8" ht="12.45">
      <c r="C339" s="19"/>
      <c r="D339" s="19"/>
      <c r="H339" s="20"/>
    </row>
    <row r="340" spans="3:8" ht="12.45">
      <c r="C340" s="19"/>
      <c r="D340" s="19"/>
      <c r="H340" s="20"/>
    </row>
    <row r="341" spans="3:8" ht="12.45">
      <c r="C341" s="19"/>
      <c r="D341" s="19"/>
      <c r="H341" s="20"/>
    </row>
    <row r="342" spans="3:8" ht="12.45">
      <c r="C342" s="19"/>
      <c r="D342" s="19"/>
      <c r="H342" s="20"/>
    </row>
    <row r="343" spans="3:8" ht="12.45">
      <c r="C343" s="19"/>
      <c r="D343" s="19"/>
      <c r="H343" s="20"/>
    </row>
    <row r="344" spans="3:8" ht="12.45">
      <c r="C344" s="19"/>
      <c r="D344" s="19"/>
      <c r="H344" s="20"/>
    </row>
    <row r="345" spans="3:8" ht="12.45">
      <c r="C345" s="19"/>
      <c r="D345" s="19"/>
      <c r="H345" s="20"/>
    </row>
    <row r="346" spans="3:8" ht="12.45">
      <c r="C346" s="19"/>
      <c r="D346" s="19"/>
      <c r="H346" s="20"/>
    </row>
    <row r="347" spans="3:8" ht="12.45">
      <c r="C347" s="19"/>
      <c r="D347" s="19"/>
      <c r="H347" s="20"/>
    </row>
    <row r="348" spans="3:8" ht="12.45">
      <c r="C348" s="19"/>
      <c r="D348" s="19"/>
      <c r="H348" s="20"/>
    </row>
    <row r="349" spans="3:8" ht="12.45">
      <c r="C349" s="19"/>
      <c r="D349" s="19"/>
      <c r="H349" s="20"/>
    </row>
    <row r="350" spans="3:8" ht="12.45">
      <c r="C350" s="19"/>
      <c r="D350" s="19"/>
      <c r="H350" s="20"/>
    </row>
    <row r="351" spans="3:8" ht="12.45">
      <c r="C351" s="19"/>
      <c r="D351" s="19"/>
      <c r="H351" s="20"/>
    </row>
    <row r="352" spans="3:8" ht="12.45">
      <c r="C352" s="19"/>
      <c r="D352" s="19"/>
      <c r="H352" s="20"/>
    </row>
    <row r="353" spans="3:8" ht="12.45">
      <c r="C353" s="19"/>
      <c r="D353" s="19"/>
      <c r="H353" s="20"/>
    </row>
    <row r="354" spans="3:8" ht="12.45">
      <c r="C354" s="19"/>
      <c r="D354" s="19"/>
      <c r="H354" s="20"/>
    </row>
    <row r="355" spans="3:8" ht="12.45">
      <c r="C355" s="19"/>
      <c r="D355" s="19"/>
      <c r="H355" s="20"/>
    </row>
    <row r="356" spans="3:8" ht="12.45">
      <c r="C356" s="19"/>
      <c r="D356" s="19"/>
      <c r="H356" s="20"/>
    </row>
    <row r="357" spans="3:8" ht="12.45">
      <c r="C357" s="19"/>
      <c r="D357" s="19"/>
      <c r="H357" s="20"/>
    </row>
    <row r="358" spans="3:8" ht="12.45">
      <c r="C358" s="19"/>
      <c r="D358" s="19"/>
      <c r="H358" s="20"/>
    </row>
    <row r="359" spans="3:8" ht="12.45">
      <c r="C359" s="19"/>
      <c r="D359" s="19"/>
      <c r="H359" s="20"/>
    </row>
    <row r="360" spans="3:8" ht="12.45">
      <c r="C360" s="19"/>
      <c r="D360" s="19"/>
      <c r="H360" s="20"/>
    </row>
    <row r="361" spans="3:8" ht="12.45">
      <c r="C361" s="19"/>
      <c r="D361" s="19"/>
      <c r="H361" s="20"/>
    </row>
    <row r="362" spans="3:8" ht="12.45">
      <c r="C362" s="19"/>
      <c r="D362" s="19"/>
      <c r="H362" s="20"/>
    </row>
    <row r="363" spans="3:8" ht="12.45">
      <c r="C363" s="19"/>
      <c r="D363" s="19"/>
      <c r="H363" s="20"/>
    </row>
    <row r="364" spans="3:8" ht="12.45">
      <c r="C364" s="19"/>
      <c r="D364" s="19"/>
      <c r="H364" s="20"/>
    </row>
    <row r="365" spans="3:8" ht="12.45">
      <c r="C365" s="19"/>
      <c r="D365" s="19"/>
      <c r="H365" s="20"/>
    </row>
    <row r="366" spans="3:8" ht="12.45">
      <c r="C366" s="19"/>
      <c r="D366" s="19"/>
      <c r="H366" s="20"/>
    </row>
    <row r="367" spans="3:8" ht="12.45">
      <c r="C367" s="19"/>
      <c r="D367" s="19"/>
      <c r="H367" s="20"/>
    </row>
    <row r="368" spans="3:8" ht="12.45">
      <c r="C368" s="19"/>
      <c r="D368" s="19"/>
      <c r="H368" s="20"/>
    </row>
    <row r="369" spans="3:8" ht="12.45">
      <c r="C369" s="19"/>
      <c r="D369" s="19"/>
      <c r="H369" s="20"/>
    </row>
    <row r="370" spans="3:8" ht="12.45">
      <c r="C370" s="19"/>
      <c r="D370" s="19"/>
      <c r="H370" s="20"/>
    </row>
    <row r="371" spans="3:8" ht="12.45">
      <c r="C371" s="19"/>
      <c r="D371" s="19"/>
      <c r="H371" s="20"/>
    </row>
    <row r="372" spans="3:8" ht="12.45">
      <c r="C372" s="19"/>
      <c r="D372" s="19"/>
      <c r="H372" s="20"/>
    </row>
    <row r="373" spans="3:8" ht="12.45">
      <c r="C373" s="19"/>
      <c r="D373" s="19"/>
      <c r="H373" s="20"/>
    </row>
    <row r="374" spans="3:8" ht="12.45">
      <c r="C374" s="19"/>
      <c r="D374" s="19"/>
      <c r="H374" s="20"/>
    </row>
    <row r="375" spans="3:8" ht="12.45">
      <c r="C375" s="19"/>
      <c r="D375" s="19"/>
      <c r="H375" s="20"/>
    </row>
    <row r="376" spans="3:8" ht="12.45">
      <c r="C376" s="19"/>
      <c r="D376" s="19"/>
      <c r="H376" s="20"/>
    </row>
    <row r="377" spans="3:8" ht="12.45">
      <c r="C377" s="19"/>
      <c r="D377" s="19"/>
      <c r="H377" s="20"/>
    </row>
    <row r="378" spans="3:8" ht="12.45">
      <c r="C378" s="19"/>
      <c r="D378" s="19"/>
      <c r="H378" s="20"/>
    </row>
    <row r="379" spans="3:8" ht="12.45">
      <c r="C379" s="19"/>
      <c r="D379" s="19"/>
      <c r="H379" s="20"/>
    </row>
    <row r="380" spans="3:8" ht="12.45">
      <c r="C380" s="19"/>
      <c r="D380" s="19"/>
      <c r="H380" s="20"/>
    </row>
    <row r="381" spans="3:8" ht="12.45">
      <c r="C381" s="19"/>
      <c r="D381" s="19"/>
      <c r="H381" s="20"/>
    </row>
    <row r="382" spans="3:8" ht="12.45">
      <c r="C382" s="19"/>
      <c r="D382" s="19"/>
      <c r="H382" s="20"/>
    </row>
    <row r="383" spans="3:8" ht="12.45">
      <c r="C383" s="19"/>
      <c r="D383" s="19"/>
      <c r="H383" s="20"/>
    </row>
    <row r="384" spans="3:8" ht="12.45">
      <c r="C384" s="19"/>
      <c r="D384" s="19"/>
      <c r="H384" s="20"/>
    </row>
    <row r="385" spans="3:8" ht="12.45">
      <c r="C385" s="19"/>
      <c r="D385" s="19"/>
      <c r="H385" s="20"/>
    </row>
    <row r="386" spans="3:8" ht="12.45">
      <c r="C386" s="19"/>
      <c r="D386" s="19"/>
      <c r="H386" s="20"/>
    </row>
    <row r="387" spans="3:8" ht="12.45">
      <c r="C387" s="19"/>
      <c r="D387" s="19"/>
      <c r="H387" s="20"/>
    </row>
    <row r="388" spans="3:8" ht="12.45">
      <c r="C388" s="19"/>
      <c r="D388" s="19"/>
      <c r="H388" s="20"/>
    </row>
    <row r="389" spans="3:8" ht="12.45">
      <c r="C389" s="19"/>
      <c r="D389" s="19"/>
      <c r="H389" s="20"/>
    </row>
    <row r="390" spans="3:8" ht="12.45">
      <c r="C390" s="19"/>
      <c r="D390" s="19"/>
      <c r="H390" s="20"/>
    </row>
    <row r="391" spans="3:8" ht="12.45">
      <c r="C391" s="19"/>
      <c r="D391" s="19"/>
      <c r="H391" s="20"/>
    </row>
    <row r="392" spans="3:8" ht="12.45">
      <c r="C392" s="19"/>
      <c r="D392" s="19"/>
      <c r="H392" s="20"/>
    </row>
    <row r="393" spans="3:8" ht="12.45">
      <c r="C393" s="19"/>
      <c r="D393" s="19"/>
      <c r="H393" s="20"/>
    </row>
    <row r="394" spans="3:8" ht="12.45">
      <c r="C394" s="19"/>
      <c r="D394" s="19"/>
      <c r="H394" s="20"/>
    </row>
    <row r="395" spans="3:8" ht="12.45">
      <c r="C395" s="19"/>
      <c r="D395" s="19"/>
      <c r="H395" s="20"/>
    </row>
    <row r="396" spans="3:8" ht="12.45">
      <c r="C396" s="19"/>
      <c r="D396" s="19"/>
      <c r="H396" s="20"/>
    </row>
    <row r="397" spans="3:8" ht="12.45">
      <c r="C397" s="19"/>
      <c r="D397" s="19"/>
      <c r="H397" s="20"/>
    </row>
    <row r="398" spans="3:8" ht="12.45">
      <c r="C398" s="19"/>
      <c r="D398" s="19"/>
      <c r="H398" s="20"/>
    </row>
    <row r="399" spans="3:8" ht="12.45">
      <c r="C399" s="19"/>
      <c r="D399" s="19"/>
      <c r="H399" s="20"/>
    </row>
    <row r="400" spans="3:8" ht="12.45">
      <c r="C400" s="19"/>
      <c r="D400" s="19"/>
      <c r="H400" s="20"/>
    </row>
    <row r="401" spans="3:8" ht="12.45">
      <c r="C401" s="19"/>
      <c r="D401" s="19"/>
      <c r="H401" s="20"/>
    </row>
    <row r="402" spans="3:8" ht="12.45">
      <c r="C402" s="19"/>
      <c r="D402" s="19"/>
      <c r="H402" s="20"/>
    </row>
    <row r="403" spans="3:8" ht="12.45">
      <c r="C403" s="19"/>
      <c r="D403" s="19"/>
      <c r="H403" s="20"/>
    </row>
    <row r="404" spans="3:8" ht="12.45">
      <c r="C404" s="19"/>
      <c r="D404" s="19"/>
      <c r="H404" s="20"/>
    </row>
    <row r="405" spans="3:8" ht="12.45">
      <c r="C405" s="19"/>
      <c r="D405" s="19"/>
      <c r="H405" s="20"/>
    </row>
    <row r="406" spans="3:8" ht="12.45">
      <c r="C406" s="19"/>
      <c r="D406" s="19"/>
      <c r="H406" s="20"/>
    </row>
    <row r="407" spans="3:8" ht="12.45">
      <c r="C407" s="19"/>
      <c r="D407" s="19"/>
      <c r="H407" s="20"/>
    </row>
    <row r="408" spans="3:8" ht="12.45">
      <c r="C408" s="19"/>
      <c r="D408" s="19"/>
      <c r="H408" s="20"/>
    </row>
    <row r="409" spans="3:8" ht="12.45">
      <c r="C409" s="19"/>
      <c r="D409" s="19"/>
      <c r="H409" s="20"/>
    </row>
    <row r="410" spans="3:8" ht="12.45">
      <c r="C410" s="19"/>
      <c r="D410" s="19"/>
      <c r="H410" s="20"/>
    </row>
    <row r="411" spans="3:8" ht="12.45">
      <c r="C411" s="19"/>
      <c r="D411" s="19"/>
      <c r="H411" s="20"/>
    </row>
    <row r="412" spans="3:8" ht="12.45">
      <c r="C412" s="19"/>
      <c r="D412" s="19"/>
      <c r="H412" s="20"/>
    </row>
    <row r="413" spans="3:8" ht="12.45">
      <c r="C413" s="19"/>
      <c r="D413" s="19"/>
      <c r="H413" s="20"/>
    </row>
    <row r="414" spans="3:8" ht="12.45">
      <c r="C414" s="19"/>
      <c r="D414" s="19"/>
      <c r="H414" s="20"/>
    </row>
    <row r="415" spans="3:8" ht="12.45">
      <c r="C415" s="19"/>
      <c r="D415" s="19"/>
      <c r="H415" s="20"/>
    </row>
    <row r="416" spans="3:8" ht="12.45">
      <c r="C416" s="19"/>
      <c r="D416" s="19"/>
      <c r="H416" s="20"/>
    </row>
    <row r="417" spans="3:8" ht="12.45">
      <c r="C417" s="19"/>
      <c r="D417" s="19"/>
      <c r="H417" s="20"/>
    </row>
    <row r="418" spans="3:8" ht="12.45">
      <c r="C418" s="19"/>
      <c r="D418" s="19"/>
      <c r="H418" s="20"/>
    </row>
    <row r="419" spans="3:8" ht="12.45">
      <c r="C419" s="19"/>
      <c r="D419" s="19"/>
      <c r="H419" s="20"/>
    </row>
    <row r="420" spans="3:8" ht="12.45">
      <c r="C420" s="19"/>
      <c r="D420" s="19"/>
      <c r="H420" s="20"/>
    </row>
    <row r="421" spans="3:8" ht="12.45">
      <c r="C421" s="19"/>
      <c r="D421" s="19"/>
      <c r="H421" s="20"/>
    </row>
    <row r="422" spans="3:8" ht="12.45">
      <c r="C422" s="19"/>
      <c r="D422" s="19"/>
      <c r="H422" s="20"/>
    </row>
    <row r="423" spans="3:8" ht="12.45">
      <c r="C423" s="19"/>
      <c r="D423" s="19"/>
      <c r="H423" s="20"/>
    </row>
    <row r="424" spans="3:8" ht="12.45">
      <c r="C424" s="19"/>
      <c r="D424" s="19"/>
      <c r="H424" s="20"/>
    </row>
    <row r="425" spans="3:8" ht="12.45">
      <c r="C425" s="19"/>
      <c r="D425" s="19"/>
      <c r="H425" s="20"/>
    </row>
    <row r="426" spans="3:8" ht="12.45">
      <c r="C426" s="19"/>
      <c r="D426" s="19"/>
      <c r="H426" s="20"/>
    </row>
    <row r="427" spans="3:8" ht="12.45">
      <c r="C427" s="19"/>
      <c r="D427" s="19"/>
      <c r="H427" s="20"/>
    </row>
    <row r="428" spans="3:8" ht="12.45">
      <c r="C428" s="19"/>
      <c r="D428" s="19"/>
      <c r="H428" s="20"/>
    </row>
    <row r="429" spans="3:8" ht="12.45">
      <c r="C429" s="19"/>
      <c r="D429" s="19"/>
      <c r="H429" s="20"/>
    </row>
    <row r="430" spans="3:8" ht="12.45">
      <c r="C430" s="19"/>
      <c r="D430" s="19"/>
      <c r="H430" s="20"/>
    </row>
    <row r="431" spans="3:8" ht="12.45">
      <c r="C431" s="19"/>
      <c r="D431" s="19"/>
      <c r="H431" s="20"/>
    </row>
    <row r="432" spans="3:8" ht="12.45">
      <c r="C432" s="19"/>
      <c r="D432" s="19"/>
      <c r="H432" s="20"/>
    </row>
    <row r="433" spans="3:8" ht="12.45">
      <c r="C433" s="19"/>
      <c r="D433" s="19"/>
      <c r="H433" s="20"/>
    </row>
    <row r="434" spans="3:8" ht="12.45">
      <c r="C434" s="19"/>
      <c r="D434" s="19"/>
      <c r="H434" s="20"/>
    </row>
    <row r="435" spans="3:8" ht="12.45">
      <c r="C435" s="19"/>
      <c r="D435" s="19"/>
      <c r="H435" s="20"/>
    </row>
    <row r="436" spans="3:8" ht="12.45">
      <c r="C436" s="19"/>
      <c r="D436" s="19"/>
      <c r="H436" s="20"/>
    </row>
    <row r="437" spans="3:8" ht="12.45">
      <c r="C437" s="19"/>
      <c r="D437" s="19"/>
      <c r="H437" s="20"/>
    </row>
    <row r="438" spans="3:8" ht="12.45">
      <c r="C438" s="19"/>
      <c r="D438" s="19"/>
      <c r="H438" s="20"/>
    </row>
    <row r="439" spans="3:8" ht="12.45">
      <c r="C439" s="19"/>
      <c r="D439" s="19"/>
      <c r="H439" s="20"/>
    </row>
    <row r="440" spans="3:8" ht="12.45">
      <c r="C440" s="19"/>
      <c r="D440" s="19"/>
      <c r="H440" s="20"/>
    </row>
    <row r="441" spans="3:8" ht="12.45">
      <c r="C441" s="19"/>
      <c r="D441" s="19"/>
      <c r="H441" s="20"/>
    </row>
    <row r="442" spans="3:8" ht="12.45">
      <c r="C442" s="19"/>
      <c r="D442" s="19"/>
      <c r="H442" s="20"/>
    </row>
    <row r="443" spans="3:8" ht="12.45">
      <c r="C443" s="19"/>
      <c r="D443" s="19"/>
      <c r="H443" s="20"/>
    </row>
    <row r="444" spans="3:8" ht="12.45">
      <c r="C444" s="19"/>
      <c r="D444" s="19"/>
      <c r="H444" s="20"/>
    </row>
    <row r="445" spans="3:8" ht="12.45">
      <c r="C445" s="19"/>
      <c r="D445" s="19"/>
      <c r="H445" s="20"/>
    </row>
    <row r="446" spans="3:8" ht="12.45">
      <c r="C446" s="19"/>
      <c r="D446" s="19"/>
      <c r="H446" s="20"/>
    </row>
    <row r="447" spans="3:8" ht="12.45">
      <c r="C447" s="19"/>
      <c r="D447" s="19"/>
      <c r="H447" s="20"/>
    </row>
    <row r="448" spans="3:8" ht="12.45">
      <c r="C448" s="19"/>
      <c r="D448" s="19"/>
      <c r="H448" s="20"/>
    </row>
    <row r="449" spans="3:8" ht="12.45">
      <c r="C449" s="19"/>
      <c r="D449" s="19"/>
      <c r="H449" s="20"/>
    </row>
    <row r="450" spans="3:8" ht="12.45">
      <c r="C450" s="19"/>
      <c r="D450" s="19"/>
      <c r="H450" s="20"/>
    </row>
    <row r="451" spans="3:8" ht="12.45">
      <c r="C451" s="19"/>
      <c r="D451" s="19"/>
      <c r="H451" s="20"/>
    </row>
    <row r="452" spans="3:8" ht="12.45">
      <c r="C452" s="19"/>
      <c r="D452" s="19"/>
      <c r="H452" s="20"/>
    </row>
    <row r="453" spans="3:8" ht="12.45">
      <c r="C453" s="19"/>
      <c r="D453" s="19"/>
      <c r="H453" s="20"/>
    </row>
    <row r="454" spans="3:8" ht="12.45">
      <c r="C454" s="19"/>
      <c r="D454" s="19"/>
      <c r="H454" s="20"/>
    </row>
    <row r="455" spans="3:8" ht="12.45">
      <c r="C455" s="19"/>
      <c r="D455" s="19"/>
      <c r="H455" s="20"/>
    </row>
    <row r="456" spans="3:8" ht="12.45">
      <c r="C456" s="19"/>
      <c r="D456" s="19"/>
      <c r="H456" s="20"/>
    </row>
    <row r="457" spans="3:8" ht="12.45">
      <c r="C457" s="19"/>
      <c r="D457" s="19"/>
      <c r="H457" s="20"/>
    </row>
    <row r="458" spans="3:8" ht="12.45">
      <c r="C458" s="19"/>
      <c r="D458" s="19"/>
      <c r="H458" s="20"/>
    </row>
    <row r="459" spans="3:8" ht="12.45">
      <c r="C459" s="19"/>
      <c r="D459" s="19"/>
      <c r="H459" s="20"/>
    </row>
    <row r="460" spans="3:8" ht="12.45">
      <c r="C460" s="19"/>
      <c r="D460" s="19"/>
      <c r="H460" s="20"/>
    </row>
    <row r="461" spans="3:8" ht="12.45">
      <c r="C461" s="19"/>
      <c r="D461" s="19"/>
      <c r="H461" s="20"/>
    </row>
    <row r="462" spans="3:8" ht="12.45">
      <c r="C462" s="19"/>
      <c r="D462" s="19"/>
      <c r="H462" s="20"/>
    </row>
    <row r="463" spans="3:8" ht="12.45">
      <c r="C463" s="19"/>
      <c r="D463" s="19"/>
      <c r="H463" s="20"/>
    </row>
    <row r="464" spans="3:8" ht="12.45">
      <c r="C464" s="19"/>
      <c r="D464" s="19"/>
      <c r="H464" s="20"/>
    </row>
    <row r="465" spans="3:8" ht="12.45">
      <c r="C465" s="19"/>
      <c r="D465" s="19"/>
      <c r="H465" s="20"/>
    </row>
    <row r="466" spans="3:8" ht="12.45">
      <c r="C466" s="19"/>
      <c r="D466" s="19"/>
      <c r="H466" s="20"/>
    </row>
    <row r="467" spans="3:8" ht="12.45">
      <c r="C467" s="19"/>
      <c r="D467" s="19"/>
      <c r="H467" s="20"/>
    </row>
    <row r="468" spans="3:8" ht="12.45">
      <c r="C468" s="19"/>
      <c r="D468" s="19"/>
      <c r="H468" s="20"/>
    </row>
    <row r="469" spans="3:8" ht="12.45">
      <c r="C469" s="19"/>
      <c r="D469" s="19"/>
      <c r="H469" s="20"/>
    </row>
    <row r="470" spans="3:8" ht="12.45">
      <c r="C470" s="19"/>
      <c r="D470" s="19"/>
      <c r="H470" s="20"/>
    </row>
    <row r="471" spans="3:8" ht="12.45">
      <c r="C471" s="19"/>
      <c r="D471" s="19"/>
      <c r="H471" s="20"/>
    </row>
    <row r="472" spans="3:8" ht="12.45">
      <c r="C472" s="19"/>
      <c r="D472" s="19"/>
      <c r="H472" s="20"/>
    </row>
    <row r="473" spans="3:8" ht="12.45">
      <c r="C473" s="19"/>
      <c r="D473" s="19"/>
      <c r="H473" s="20"/>
    </row>
    <row r="474" spans="3:8" ht="12.45">
      <c r="C474" s="19"/>
      <c r="D474" s="19"/>
      <c r="H474" s="20"/>
    </row>
    <row r="475" spans="3:8" ht="12.45">
      <c r="C475" s="19"/>
      <c r="D475" s="19"/>
      <c r="H475" s="20"/>
    </row>
    <row r="476" spans="3:8" ht="12.45">
      <c r="C476" s="19"/>
      <c r="D476" s="19"/>
      <c r="H476" s="20"/>
    </row>
    <row r="477" spans="3:8" ht="12.45">
      <c r="C477" s="19"/>
      <c r="D477" s="19"/>
      <c r="H477" s="20"/>
    </row>
    <row r="478" spans="3:8" ht="12.45">
      <c r="C478" s="19"/>
      <c r="D478" s="19"/>
      <c r="H478" s="20"/>
    </row>
    <row r="479" spans="3:8" ht="12.45">
      <c r="C479" s="19"/>
      <c r="D479" s="19"/>
      <c r="H479" s="20"/>
    </row>
    <row r="480" spans="3:8" ht="12.45">
      <c r="C480" s="19"/>
      <c r="D480" s="19"/>
      <c r="H480" s="20"/>
    </row>
    <row r="481" spans="3:8" ht="12.45">
      <c r="C481" s="19"/>
      <c r="D481" s="19"/>
      <c r="H481" s="20"/>
    </row>
    <row r="482" spans="3:8" ht="12.45">
      <c r="C482" s="19"/>
      <c r="D482" s="19"/>
      <c r="H482" s="20"/>
    </row>
    <row r="483" spans="3:8" ht="12.45">
      <c r="C483" s="19"/>
      <c r="D483" s="19"/>
      <c r="H483" s="20"/>
    </row>
    <row r="484" spans="3:8" ht="12.45">
      <c r="C484" s="19"/>
      <c r="D484" s="19"/>
      <c r="H484" s="20"/>
    </row>
    <row r="485" spans="3:8" ht="12.45">
      <c r="C485" s="19"/>
      <c r="D485" s="19"/>
      <c r="H485" s="20"/>
    </row>
    <row r="486" spans="3:8" ht="12.45">
      <c r="C486" s="19"/>
      <c r="D486" s="19"/>
      <c r="H486" s="20"/>
    </row>
    <row r="487" spans="3:8" ht="12.45">
      <c r="C487" s="19"/>
      <c r="D487" s="19"/>
      <c r="H487" s="20"/>
    </row>
    <row r="488" spans="3:8" ht="12.45">
      <c r="C488" s="19"/>
      <c r="D488" s="19"/>
      <c r="H488" s="20"/>
    </row>
    <row r="489" spans="3:8" ht="12.45">
      <c r="C489" s="19"/>
      <c r="D489" s="19"/>
      <c r="H489" s="20"/>
    </row>
    <row r="490" spans="3:8" ht="12.45">
      <c r="C490" s="19"/>
      <c r="D490" s="19"/>
      <c r="H490" s="20"/>
    </row>
    <row r="491" spans="3:8" ht="12.45">
      <c r="C491" s="19"/>
      <c r="D491" s="19"/>
      <c r="H491" s="20"/>
    </row>
    <row r="492" spans="3:8" ht="12.45">
      <c r="C492" s="19"/>
      <c r="D492" s="19"/>
      <c r="H492" s="20"/>
    </row>
    <row r="493" spans="3:8" ht="12.45">
      <c r="C493" s="19"/>
      <c r="D493" s="19"/>
      <c r="H493" s="20"/>
    </row>
    <row r="494" spans="3:8" ht="12.45">
      <c r="C494" s="19"/>
      <c r="D494" s="19"/>
      <c r="H494" s="20"/>
    </row>
    <row r="495" spans="3:8" ht="12.45">
      <c r="C495" s="19"/>
      <c r="D495" s="19"/>
      <c r="H495" s="20"/>
    </row>
    <row r="496" spans="3:8" ht="12.45">
      <c r="C496" s="19"/>
      <c r="D496" s="19"/>
      <c r="H496" s="20"/>
    </row>
    <row r="497" spans="3:8" ht="12.45">
      <c r="C497" s="19"/>
      <c r="D497" s="19"/>
      <c r="H497" s="20"/>
    </row>
    <row r="498" spans="3:8" ht="12.45">
      <c r="C498" s="19"/>
      <c r="D498" s="19"/>
      <c r="H498" s="20"/>
    </row>
    <row r="499" spans="3:8" ht="12.45">
      <c r="C499" s="19"/>
      <c r="D499" s="19"/>
      <c r="H499" s="20"/>
    </row>
    <row r="500" spans="3:8" ht="12.45">
      <c r="C500" s="19"/>
      <c r="D500" s="19"/>
      <c r="H500" s="20"/>
    </row>
    <row r="501" spans="3:8" ht="12.45">
      <c r="C501" s="19"/>
      <c r="D501" s="19"/>
      <c r="H501" s="20"/>
    </row>
    <row r="502" spans="3:8" ht="12.45">
      <c r="C502" s="19"/>
      <c r="D502" s="19"/>
      <c r="H502" s="20"/>
    </row>
    <row r="503" spans="3:8" ht="12.45">
      <c r="C503" s="19"/>
      <c r="D503" s="19"/>
      <c r="H503" s="20"/>
    </row>
    <row r="504" spans="3:8" ht="12.45">
      <c r="C504" s="19"/>
      <c r="D504" s="19"/>
      <c r="H504" s="20"/>
    </row>
    <row r="505" spans="3:8" ht="12.45">
      <c r="C505" s="19"/>
      <c r="D505" s="19"/>
      <c r="H505" s="20"/>
    </row>
    <row r="506" spans="3:8" ht="12.45">
      <c r="C506" s="19"/>
      <c r="D506" s="19"/>
      <c r="H506" s="20"/>
    </row>
    <row r="507" spans="3:8" ht="12.45">
      <c r="C507" s="19"/>
      <c r="D507" s="19"/>
      <c r="H507" s="20"/>
    </row>
    <row r="508" spans="3:8" ht="12.45">
      <c r="C508" s="19"/>
      <c r="D508" s="19"/>
      <c r="H508" s="20"/>
    </row>
    <row r="509" spans="3:8" ht="12.45">
      <c r="C509" s="19"/>
      <c r="D509" s="19"/>
      <c r="H509" s="20"/>
    </row>
    <row r="510" spans="3:8" ht="12.45">
      <c r="C510" s="19"/>
      <c r="D510" s="19"/>
      <c r="H510" s="20"/>
    </row>
    <row r="511" spans="3:8" ht="12.45">
      <c r="C511" s="19"/>
      <c r="D511" s="19"/>
      <c r="H511" s="20"/>
    </row>
    <row r="512" spans="3:8" ht="12.45">
      <c r="C512" s="19"/>
      <c r="D512" s="19"/>
      <c r="H512" s="20"/>
    </row>
    <row r="513" spans="3:8" ht="12.45">
      <c r="C513" s="19"/>
      <c r="D513" s="19"/>
      <c r="H513" s="20"/>
    </row>
    <row r="514" spans="3:8" ht="12.45">
      <c r="C514" s="19"/>
      <c r="D514" s="19"/>
      <c r="H514" s="20"/>
    </row>
    <row r="515" spans="3:8" ht="12.45">
      <c r="C515" s="19"/>
      <c r="D515" s="19"/>
      <c r="H515" s="20"/>
    </row>
    <row r="516" spans="3:8" ht="12.45">
      <c r="C516" s="19"/>
      <c r="D516" s="19"/>
      <c r="H516" s="20"/>
    </row>
    <row r="517" spans="3:8" ht="12.45">
      <c r="C517" s="19"/>
      <c r="D517" s="19"/>
      <c r="H517" s="20"/>
    </row>
    <row r="518" spans="3:8" ht="12.45">
      <c r="C518" s="19"/>
      <c r="D518" s="19"/>
      <c r="H518" s="20"/>
    </row>
    <row r="519" spans="3:8" ht="12.45">
      <c r="C519" s="19"/>
      <c r="D519" s="19"/>
      <c r="H519" s="20"/>
    </row>
    <row r="520" spans="3:8" ht="12.45">
      <c r="C520" s="19"/>
      <c r="D520" s="19"/>
      <c r="H520" s="20"/>
    </row>
    <row r="521" spans="3:8" ht="12.45">
      <c r="C521" s="19"/>
      <c r="D521" s="19"/>
      <c r="H521" s="20"/>
    </row>
    <row r="522" spans="3:8" ht="12.45">
      <c r="C522" s="19"/>
      <c r="D522" s="19"/>
      <c r="H522" s="20"/>
    </row>
    <row r="523" spans="3:8" ht="12.45">
      <c r="C523" s="19"/>
      <c r="D523" s="19"/>
      <c r="H523" s="20"/>
    </row>
    <row r="524" spans="3:8" ht="12.45">
      <c r="C524" s="19"/>
      <c r="D524" s="19"/>
      <c r="H524" s="20"/>
    </row>
    <row r="525" spans="3:8" ht="12.45">
      <c r="C525" s="19"/>
      <c r="D525" s="19"/>
      <c r="H525" s="20"/>
    </row>
    <row r="526" spans="3:8" ht="12.45">
      <c r="C526" s="19"/>
      <c r="D526" s="19"/>
      <c r="H526" s="20"/>
    </row>
    <row r="527" spans="3:8" ht="12.45">
      <c r="C527" s="19"/>
      <c r="D527" s="19"/>
      <c r="H527" s="20"/>
    </row>
    <row r="528" spans="3:8" ht="12.45">
      <c r="C528" s="19"/>
      <c r="D528" s="19"/>
      <c r="H528" s="20"/>
    </row>
    <row r="529" spans="3:8" ht="12.45">
      <c r="C529" s="19"/>
      <c r="D529" s="19"/>
      <c r="H529" s="20"/>
    </row>
    <row r="530" spans="3:8" ht="12.45">
      <c r="C530" s="19"/>
      <c r="D530" s="19"/>
      <c r="H530" s="20"/>
    </row>
    <row r="531" spans="3:8" ht="12.45">
      <c r="C531" s="19"/>
      <c r="D531" s="19"/>
      <c r="H531" s="20"/>
    </row>
    <row r="532" spans="3:8" ht="12.45">
      <c r="C532" s="19"/>
      <c r="D532" s="19"/>
      <c r="H532" s="20"/>
    </row>
    <row r="533" spans="3:8" ht="12.45">
      <c r="C533" s="19"/>
      <c r="D533" s="19"/>
      <c r="H533" s="20"/>
    </row>
    <row r="534" spans="3:8" ht="12.45">
      <c r="C534" s="19"/>
      <c r="D534" s="19"/>
      <c r="H534" s="20"/>
    </row>
    <row r="535" spans="3:8" ht="12.45">
      <c r="C535" s="19"/>
      <c r="D535" s="19"/>
      <c r="H535" s="20"/>
    </row>
    <row r="536" spans="3:8" ht="12.45">
      <c r="C536" s="19"/>
      <c r="D536" s="19"/>
      <c r="H536" s="20"/>
    </row>
    <row r="537" spans="3:8" ht="12.45">
      <c r="C537" s="19"/>
      <c r="D537" s="19"/>
      <c r="H537" s="20"/>
    </row>
    <row r="538" spans="3:8" ht="12.45">
      <c r="C538" s="19"/>
      <c r="D538" s="19"/>
      <c r="H538" s="20"/>
    </row>
    <row r="539" spans="3:8" ht="12.45">
      <c r="C539" s="19"/>
      <c r="D539" s="19"/>
      <c r="H539" s="20"/>
    </row>
    <row r="540" spans="3:8" ht="12.45">
      <c r="C540" s="19"/>
      <c r="D540" s="19"/>
      <c r="H540" s="20"/>
    </row>
    <row r="541" spans="3:8" ht="12.45">
      <c r="C541" s="19"/>
      <c r="D541" s="19"/>
      <c r="H541" s="20"/>
    </row>
    <row r="542" spans="3:8" ht="12.45">
      <c r="C542" s="19"/>
      <c r="D542" s="19"/>
      <c r="H542" s="20"/>
    </row>
    <row r="543" spans="3:8" ht="12.45">
      <c r="C543" s="19"/>
      <c r="D543" s="19"/>
      <c r="H543" s="20"/>
    </row>
    <row r="544" spans="3:8" ht="12.45">
      <c r="C544" s="19"/>
      <c r="D544" s="19"/>
      <c r="H544" s="20"/>
    </row>
    <row r="545" spans="3:8" ht="12.45">
      <c r="C545" s="19"/>
      <c r="D545" s="19"/>
      <c r="H545" s="20"/>
    </row>
    <row r="546" spans="3:8" ht="12.45">
      <c r="C546" s="19"/>
      <c r="D546" s="19"/>
      <c r="H546" s="20"/>
    </row>
    <row r="547" spans="3:8" ht="12.45">
      <c r="C547" s="19"/>
      <c r="D547" s="19"/>
      <c r="H547" s="20"/>
    </row>
    <row r="548" spans="3:8" ht="12.45">
      <c r="C548" s="19"/>
      <c r="D548" s="19"/>
      <c r="H548" s="20"/>
    </row>
    <row r="549" spans="3:8" ht="12.45">
      <c r="C549" s="19"/>
      <c r="D549" s="19"/>
      <c r="H549" s="20"/>
    </row>
    <row r="550" spans="3:8" ht="12.45">
      <c r="C550" s="19"/>
      <c r="D550" s="19"/>
      <c r="H550" s="20"/>
    </row>
    <row r="551" spans="3:8" ht="12.45">
      <c r="C551" s="19"/>
      <c r="D551" s="19"/>
      <c r="H551" s="20"/>
    </row>
    <row r="552" spans="3:8" ht="12.45">
      <c r="C552" s="19"/>
      <c r="D552" s="19"/>
      <c r="H552" s="20"/>
    </row>
    <row r="553" spans="3:8" ht="12.45">
      <c r="C553" s="19"/>
      <c r="D553" s="19"/>
      <c r="H553" s="20"/>
    </row>
    <row r="554" spans="3:8" ht="12.45">
      <c r="C554" s="19"/>
      <c r="D554" s="19"/>
      <c r="H554" s="20"/>
    </row>
    <row r="555" spans="3:8" ht="12.45">
      <c r="C555" s="19"/>
      <c r="D555" s="19"/>
      <c r="H555" s="20"/>
    </row>
    <row r="556" spans="3:8" ht="12.45">
      <c r="C556" s="19"/>
      <c r="D556" s="19"/>
      <c r="H556" s="20"/>
    </row>
    <row r="557" spans="3:8" ht="12.45">
      <c r="C557" s="19"/>
      <c r="D557" s="19"/>
      <c r="H557" s="20"/>
    </row>
    <row r="558" spans="3:8" ht="12.45">
      <c r="C558" s="19"/>
      <c r="D558" s="19"/>
      <c r="H558" s="20"/>
    </row>
    <row r="559" spans="3:8" ht="12.45">
      <c r="C559" s="19"/>
      <c r="D559" s="19"/>
      <c r="H559" s="20"/>
    </row>
    <row r="560" spans="3:8" ht="12.45">
      <c r="C560" s="19"/>
      <c r="D560" s="19"/>
      <c r="H560" s="20"/>
    </row>
    <row r="561" spans="3:8" ht="12.45">
      <c r="C561" s="19"/>
      <c r="D561" s="19"/>
      <c r="H561" s="20"/>
    </row>
    <row r="562" spans="3:8" ht="12.45">
      <c r="C562" s="19"/>
      <c r="D562" s="19"/>
      <c r="H562" s="20"/>
    </row>
    <row r="563" spans="3:8" ht="12.45">
      <c r="C563" s="19"/>
      <c r="D563" s="19"/>
      <c r="H563" s="20"/>
    </row>
    <row r="564" spans="3:8" ht="12.45">
      <c r="C564" s="19"/>
      <c r="D564" s="19"/>
      <c r="H564" s="20"/>
    </row>
    <row r="565" spans="3:8" ht="12.45">
      <c r="C565" s="19"/>
      <c r="D565" s="19"/>
      <c r="H565" s="20"/>
    </row>
    <row r="566" spans="3:8" ht="12.45">
      <c r="C566" s="19"/>
      <c r="D566" s="19"/>
      <c r="H566" s="20"/>
    </row>
    <row r="567" spans="3:8" ht="12.45">
      <c r="C567" s="19"/>
      <c r="D567" s="19"/>
      <c r="H567" s="20"/>
    </row>
    <row r="568" spans="3:8" ht="12.45">
      <c r="C568" s="19"/>
      <c r="D568" s="19"/>
      <c r="H568" s="20"/>
    </row>
    <row r="569" spans="3:8" ht="12.45">
      <c r="C569" s="19"/>
      <c r="D569" s="19"/>
      <c r="H569" s="20"/>
    </row>
    <row r="570" spans="3:8" ht="12.45">
      <c r="C570" s="19"/>
      <c r="D570" s="19"/>
      <c r="H570" s="20"/>
    </row>
    <row r="571" spans="3:8" ht="12.45">
      <c r="C571" s="19"/>
      <c r="D571" s="19"/>
      <c r="H571" s="20"/>
    </row>
    <row r="572" spans="3:8" ht="12.45">
      <c r="C572" s="19"/>
      <c r="D572" s="19"/>
      <c r="H572" s="20"/>
    </row>
    <row r="573" spans="3:8" ht="12.45">
      <c r="C573" s="19"/>
      <c r="D573" s="19"/>
      <c r="H573" s="20"/>
    </row>
    <row r="574" spans="3:8" ht="12.45">
      <c r="C574" s="19"/>
      <c r="D574" s="19"/>
      <c r="H574" s="20"/>
    </row>
    <row r="575" spans="3:8" ht="12.45">
      <c r="C575" s="19"/>
      <c r="D575" s="19"/>
      <c r="H575" s="20"/>
    </row>
    <row r="576" spans="3:8" ht="12.45">
      <c r="C576" s="19"/>
      <c r="D576" s="19"/>
      <c r="H576" s="20"/>
    </row>
    <row r="577" spans="3:8" ht="12.45">
      <c r="C577" s="19"/>
      <c r="D577" s="19"/>
      <c r="H577" s="20"/>
    </row>
    <row r="578" spans="3:8" ht="12.45">
      <c r="C578" s="19"/>
      <c r="D578" s="19"/>
      <c r="H578" s="20"/>
    </row>
    <row r="579" spans="3:8" ht="12.45">
      <c r="C579" s="19"/>
      <c r="D579" s="19"/>
      <c r="H579" s="20"/>
    </row>
    <row r="580" spans="3:8" ht="12.45">
      <c r="C580" s="19"/>
      <c r="D580" s="19"/>
      <c r="H580" s="20"/>
    </row>
    <row r="581" spans="3:8" ht="12.45">
      <c r="C581" s="19"/>
      <c r="D581" s="19"/>
      <c r="H581" s="20"/>
    </row>
    <row r="582" spans="3:8" ht="12.45">
      <c r="C582" s="19"/>
      <c r="D582" s="19"/>
      <c r="H582" s="20"/>
    </row>
    <row r="583" spans="3:8" ht="12.45">
      <c r="C583" s="19"/>
      <c r="D583" s="19"/>
      <c r="H583" s="20"/>
    </row>
    <row r="584" spans="3:8" ht="12.45">
      <c r="C584" s="19"/>
      <c r="D584" s="19"/>
      <c r="H584" s="20"/>
    </row>
    <row r="585" spans="3:8" ht="12.45">
      <c r="C585" s="19"/>
      <c r="D585" s="19"/>
      <c r="H585" s="20"/>
    </row>
    <row r="586" spans="3:8" ht="12.45">
      <c r="C586" s="19"/>
      <c r="D586" s="19"/>
      <c r="H586" s="20"/>
    </row>
    <row r="587" spans="3:8" ht="12.45">
      <c r="C587" s="19"/>
      <c r="D587" s="19"/>
      <c r="H587" s="20"/>
    </row>
    <row r="588" spans="3:8" ht="12.45">
      <c r="C588" s="19"/>
      <c r="D588" s="19"/>
      <c r="H588" s="20"/>
    </row>
    <row r="589" spans="3:8" ht="12.45">
      <c r="C589" s="19"/>
      <c r="D589" s="19"/>
      <c r="H589" s="20"/>
    </row>
    <row r="590" spans="3:8" ht="12.45">
      <c r="C590" s="19"/>
      <c r="D590" s="19"/>
      <c r="H590" s="20"/>
    </row>
    <row r="591" spans="3:8" ht="12.45">
      <c r="C591" s="19"/>
      <c r="D591" s="19"/>
      <c r="H591" s="20"/>
    </row>
    <row r="592" spans="3:8" ht="12.45">
      <c r="C592" s="19"/>
      <c r="D592" s="19"/>
      <c r="H592" s="20"/>
    </row>
    <row r="593" spans="3:8" ht="12.45">
      <c r="C593" s="19"/>
      <c r="D593" s="19"/>
      <c r="H593" s="20"/>
    </row>
    <row r="594" spans="3:8" ht="12.45">
      <c r="C594" s="19"/>
      <c r="D594" s="19"/>
      <c r="H594" s="20"/>
    </row>
    <row r="595" spans="3:8" ht="12.45">
      <c r="C595" s="19"/>
      <c r="D595" s="19"/>
      <c r="H595" s="20"/>
    </row>
    <row r="596" spans="3:8" ht="12.45">
      <c r="C596" s="19"/>
      <c r="D596" s="19"/>
      <c r="H596" s="20"/>
    </row>
    <row r="597" spans="3:8" ht="12.45">
      <c r="C597" s="19"/>
      <c r="D597" s="19"/>
      <c r="H597" s="20"/>
    </row>
    <row r="598" spans="3:8" ht="12.45">
      <c r="C598" s="19"/>
      <c r="D598" s="19"/>
      <c r="H598" s="20"/>
    </row>
    <row r="599" spans="3:8" ht="12.45">
      <c r="C599" s="19"/>
      <c r="D599" s="19"/>
      <c r="H599" s="20"/>
    </row>
    <row r="600" spans="3:8" ht="12.45">
      <c r="C600" s="19"/>
      <c r="D600" s="19"/>
      <c r="H600" s="20"/>
    </row>
    <row r="601" spans="3:8" ht="12.45">
      <c r="C601" s="19"/>
      <c r="D601" s="19"/>
      <c r="H601" s="20"/>
    </row>
    <row r="602" spans="3:8" ht="12.45">
      <c r="C602" s="19"/>
      <c r="D602" s="19"/>
      <c r="H602" s="20"/>
    </row>
    <row r="603" spans="3:8" ht="12.45">
      <c r="C603" s="19"/>
      <c r="D603" s="19"/>
      <c r="H603" s="20"/>
    </row>
    <row r="604" spans="3:8" ht="12.45">
      <c r="C604" s="19"/>
      <c r="D604" s="19"/>
      <c r="H604" s="20"/>
    </row>
    <row r="605" spans="3:8" ht="12.45">
      <c r="C605" s="19"/>
      <c r="D605" s="19"/>
      <c r="H605" s="20"/>
    </row>
    <row r="606" spans="3:8" ht="12.45">
      <c r="C606" s="19"/>
      <c r="D606" s="19"/>
      <c r="H606" s="20"/>
    </row>
    <row r="607" spans="3:8" ht="12.45">
      <c r="C607" s="19"/>
      <c r="D607" s="19"/>
      <c r="H607" s="20"/>
    </row>
    <row r="608" spans="3:8" ht="12.45">
      <c r="C608" s="19"/>
      <c r="D608" s="19"/>
      <c r="H608" s="20"/>
    </row>
    <row r="609" spans="3:8" ht="12.45">
      <c r="C609" s="19"/>
      <c r="D609" s="19"/>
      <c r="H609" s="20"/>
    </row>
    <row r="610" spans="3:8" ht="12.45">
      <c r="C610" s="19"/>
      <c r="D610" s="19"/>
      <c r="H610" s="20"/>
    </row>
    <row r="611" spans="3:8" ht="12.45">
      <c r="C611" s="19"/>
      <c r="D611" s="19"/>
      <c r="H611" s="20"/>
    </row>
    <row r="612" spans="3:8" ht="12.45">
      <c r="C612" s="19"/>
      <c r="D612" s="19"/>
      <c r="H612" s="20"/>
    </row>
    <row r="613" spans="3:8" ht="12.45">
      <c r="C613" s="19"/>
      <c r="D613" s="19"/>
      <c r="H613" s="20"/>
    </row>
    <row r="614" spans="3:8" ht="12.45">
      <c r="C614" s="19"/>
      <c r="D614" s="19"/>
      <c r="H614" s="20"/>
    </row>
    <row r="615" spans="3:8" ht="12.45">
      <c r="C615" s="19"/>
      <c r="D615" s="19"/>
      <c r="H615" s="20"/>
    </row>
    <row r="616" spans="3:8" ht="12.45">
      <c r="C616" s="19"/>
      <c r="D616" s="19"/>
      <c r="H616" s="20"/>
    </row>
    <row r="617" spans="3:8" ht="12.45">
      <c r="C617" s="19"/>
      <c r="D617" s="19"/>
      <c r="H617" s="20"/>
    </row>
    <row r="618" spans="3:8" ht="12.45">
      <c r="C618" s="19"/>
      <c r="D618" s="19"/>
      <c r="H618" s="20"/>
    </row>
    <row r="619" spans="3:8" ht="12.45">
      <c r="C619" s="19"/>
      <c r="D619" s="19"/>
      <c r="H619" s="20"/>
    </row>
    <row r="620" spans="3:8" ht="12.45">
      <c r="C620" s="19"/>
      <c r="D620" s="19"/>
      <c r="H620" s="20"/>
    </row>
    <row r="621" spans="3:8" ht="12.45">
      <c r="C621" s="19"/>
      <c r="D621" s="19"/>
      <c r="H621" s="20"/>
    </row>
    <row r="622" spans="3:8" ht="12.45">
      <c r="C622" s="19"/>
      <c r="D622" s="19"/>
      <c r="H622" s="20"/>
    </row>
    <row r="623" spans="3:8" ht="12.45">
      <c r="C623" s="19"/>
      <c r="D623" s="19"/>
      <c r="H623" s="20"/>
    </row>
    <row r="624" spans="3:8" ht="12.45">
      <c r="C624" s="19"/>
      <c r="D624" s="19"/>
      <c r="H624" s="20"/>
    </row>
    <row r="625" spans="3:8" ht="12.45">
      <c r="C625" s="19"/>
      <c r="D625" s="19"/>
      <c r="H625" s="20"/>
    </row>
    <row r="626" spans="3:8" ht="12.45">
      <c r="C626" s="19"/>
      <c r="D626" s="19"/>
      <c r="H626" s="20"/>
    </row>
    <row r="627" spans="3:8" ht="12.45">
      <c r="C627" s="19"/>
      <c r="D627" s="19"/>
      <c r="H627" s="20"/>
    </row>
    <row r="628" spans="3:8" ht="12.45">
      <c r="C628" s="19"/>
      <c r="D628" s="19"/>
      <c r="H628" s="20"/>
    </row>
    <row r="629" spans="3:8" ht="12.45">
      <c r="C629" s="19"/>
      <c r="D629" s="19"/>
      <c r="H629" s="20"/>
    </row>
    <row r="630" spans="3:8" ht="12.45">
      <c r="C630" s="19"/>
      <c r="D630" s="19"/>
      <c r="H630" s="20"/>
    </row>
    <row r="631" spans="3:8" ht="12.45">
      <c r="C631" s="19"/>
      <c r="D631" s="19"/>
      <c r="H631" s="20"/>
    </row>
    <row r="632" spans="3:8" ht="12.45">
      <c r="C632" s="19"/>
      <c r="D632" s="19"/>
      <c r="H632" s="20"/>
    </row>
    <row r="633" spans="3:8" ht="12.45">
      <c r="C633" s="19"/>
      <c r="D633" s="19"/>
      <c r="H633" s="20"/>
    </row>
    <row r="634" spans="3:8" ht="12.45">
      <c r="C634" s="19"/>
      <c r="D634" s="19"/>
      <c r="H634" s="20"/>
    </row>
    <row r="635" spans="3:8" ht="12.45">
      <c r="C635" s="19"/>
      <c r="D635" s="19"/>
      <c r="H635" s="20"/>
    </row>
    <row r="636" spans="3:8" ht="12.45">
      <c r="C636" s="19"/>
      <c r="D636" s="19"/>
      <c r="H636" s="20"/>
    </row>
    <row r="637" spans="3:8" ht="12.45">
      <c r="C637" s="19"/>
      <c r="D637" s="19"/>
      <c r="H637" s="20"/>
    </row>
    <row r="638" spans="3:8" ht="12.45">
      <c r="C638" s="19"/>
      <c r="D638" s="19"/>
      <c r="H638" s="20"/>
    </row>
    <row r="639" spans="3:8" ht="12.45">
      <c r="C639" s="19"/>
      <c r="D639" s="19"/>
      <c r="H639" s="20"/>
    </row>
    <row r="640" spans="3:8" ht="12.45">
      <c r="C640" s="19"/>
      <c r="D640" s="19"/>
      <c r="H640" s="20"/>
    </row>
    <row r="641" spans="3:8" ht="12.45">
      <c r="C641" s="19"/>
      <c r="D641" s="19"/>
      <c r="H641" s="20"/>
    </row>
    <row r="642" spans="3:8" ht="12.45">
      <c r="C642" s="19"/>
      <c r="D642" s="19"/>
      <c r="H642" s="20"/>
    </row>
    <row r="643" spans="3:8" ht="12.45">
      <c r="C643" s="19"/>
      <c r="D643" s="19"/>
      <c r="H643" s="20"/>
    </row>
    <row r="644" spans="3:8" ht="12.45">
      <c r="C644" s="19"/>
      <c r="D644" s="19"/>
      <c r="H644" s="20"/>
    </row>
    <row r="645" spans="3:8" ht="12.45">
      <c r="C645" s="19"/>
      <c r="D645" s="19"/>
      <c r="H645" s="20"/>
    </row>
    <row r="646" spans="3:8" ht="12.45">
      <c r="C646" s="19"/>
      <c r="D646" s="19"/>
      <c r="H646" s="20"/>
    </row>
    <row r="647" spans="3:8" ht="12.45">
      <c r="C647" s="19"/>
      <c r="D647" s="19"/>
      <c r="H647" s="20"/>
    </row>
    <row r="648" spans="3:8" ht="12.45">
      <c r="C648" s="19"/>
      <c r="D648" s="19"/>
      <c r="H648" s="20"/>
    </row>
    <row r="649" spans="3:8" ht="12.45">
      <c r="C649" s="19"/>
      <c r="D649" s="19"/>
      <c r="H649" s="20"/>
    </row>
    <row r="650" spans="3:8" ht="12.45">
      <c r="C650" s="19"/>
      <c r="D650" s="19"/>
      <c r="H650" s="20"/>
    </row>
    <row r="651" spans="3:8" ht="12.45">
      <c r="C651" s="19"/>
      <c r="D651" s="19"/>
      <c r="H651" s="20"/>
    </row>
    <row r="652" spans="3:8" ht="12.45">
      <c r="C652" s="19"/>
      <c r="D652" s="19"/>
      <c r="H652" s="20"/>
    </row>
    <row r="653" spans="3:8" ht="12.45">
      <c r="C653" s="19"/>
      <c r="D653" s="19"/>
      <c r="H653" s="20"/>
    </row>
    <row r="654" spans="3:8" ht="12.45">
      <c r="C654" s="19"/>
      <c r="D654" s="19"/>
      <c r="H654" s="20"/>
    </row>
    <row r="655" spans="3:8" ht="12.45">
      <c r="C655" s="19"/>
      <c r="D655" s="19"/>
      <c r="H655" s="20"/>
    </row>
    <row r="656" spans="3:8" ht="12.45">
      <c r="C656" s="19"/>
      <c r="D656" s="19"/>
      <c r="H656" s="20"/>
    </row>
    <row r="657" spans="3:8" ht="12.45">
      <c r="C657" s="19"/>
      <c r="D657" s="19"/>
      <c r="H657" s="20"/>
    </row>
    <row r="658" spans="3:8" ht="12.45">
      <c r="C658" s="19"/>
      <c r="D658" s="19"/>
      <c r="H658" s="20"/>
    </row>
    <row r="659" spans="3:8" ht="12.45">
      <c r="C659" s="19"/>
      <c r="D659" s="19"/>
      <c r="H659" s="20"/>
    </row>
    <row r="660" spans="3:8" ht="12.45">
      <c r="C660" s="19"/>
      <c r="D660" s="19"/>
      <c r="H660" s="20"/>
    </row>
    <row r="661" spans="3:8" ht="12.45">
      <c r="C661" s="19"/>
      <c r="D661" s="19"/>
      <c r="H661" s="20"/>
    </row>
    <row r="662" spans="3:8" ht="12.45">
      <c r="C662" s="19"/>
      <c r="D662" s="19"/>
      <c r="H662" s="20"/>
    </row>
    <row r="663" spans="3:8" ht="12.45">
      <c r="C663" s="19"/>
      <c r="D663" s="19"/>
      <c r="H663" s="20"/>
    </row>
    <row r="664" spans="3:8" ht="12.45">
      <c r="C664" s="19"/>
      <c r="D664" s="19"/>
      <c r="H664" s="20"/>
    </row>
    <row r="665" spans="3:8" ht="12.45">
      <c r="C665" s="19"/>
      <c r="D665" s="19"/>
      <c r="H665" s="20"/>
    </row>
    <row r="666" spans="3:8" ht="12.45">
      <c r="C666" s="19"/>
      <c r="D666" s="19"/>
      <c r="H666" s="20"/>
    </row>
    <row r="667" spans="3:8" ht="12.45">
      <c r="C667" s="19"/>
      <c r="D667" s="19"/>
      <c r="H667" s="20"/>
    </row>
    <row r="668" spans="3:8" ht="12.45">
      <c r="C668" s="19"/>
      <c r="D668" s="19"/>
      <c r="H668" s="20"/>
    </row>
    <row r="669" spans="3:8" ht="12.45">
      <c r="C669" s="19"/>
      <c r="D669" s="19"/>
      <c r="H669" s="20"/>
    </row>
    <row r="670" spans="3:8" ht="12.45">
      <c r="C670" s="19"/>
      <c r="D670" s="19"/>
      <c r="H670" s="20"/>
    </row>
    <row r="671" spans="3:8" ht="12.45">
      <c r="C671" s="19"/>
      <c r="D671" s="19"/>
      <c r="H671" s="20"/>
    </row>
    <row r="672" spans="3:8" ht="12.45">
      <c r="C672" s="19"/>
      <c r="D672" s="19"/>
      <c r="H672" s="20"/>
    </row>
    <row r="673" spans="3:8" ht="12.45">
      <c r="C673" s="19"/>
      <c r="D673" s="19"/>
      <c r="H673" s="20"/>
    </row>
    <row r="674" spans="3:8" ht="12.45">
      <c r="C674" s="19"/>
      <c r="D674" s="19"/>
      <c r="H674" s="20"/>
    </row>
    <row r="675" spans="3:8" ht="12.45">
      <c r="C675" s="19"/>
      <c r="D675" s="19"/>
      <c r="H675" s="20"/>
    </row>
    <row r="676" spans="3:8" ht="12.45">
      <c r="C676" s="19"/>
      <c r="D676" s="19"/>
      <c r="H676" s="20"/>
    </row>
    <row r="677" spans="3:8" ht="12.45">
      <c r="C677" s="19"/>
      <c r="D677" s="19"/>
      <c r="H677" s="20"/>
    </row>
    <row r="678" spans="3:8" ht="12.45">
      <c r="C678" s="19"/>
      <c r="D678" s="19"/>
      <c r="H678" s="20"/>
    </row>
    <row r="679" spans="3:8" ht="12.45">
      <c r="C679" s="19"/>
      <c r="D679" s="19"/>
      <c r="H679" s="20"/>
    </row>
    <row r="680" spans="3:8" ht="12.45">
      <c r="C680" s="19"/>
      <c r="D680" s="19"/>
      <c r="H680" s="20"/>
    </row>
    <row r="681" spans="3:8" ht="12.45">
      <c r="C681" s="19"/>
      <c r="D681" s="19"/>
      <c r="H681" s="20"/>
    </row>
    <row r="682" spans="3:8" ht="12.45">
      <c r="C682" s="19"/>
      <c r="D682" s="19"/>
      <c r="H682" s="20"/>
    </row>
    <row r="683" spans="3:8" ht="12.45">
      <c r="C683" s="19"/>
      <c r="D683" s="19"/>
      <c r="H683" s="20"/>
    </row>
    <row r="684" spans="3:8" ht="12.45">
      <c r="C684" s="19"/>
      <c r="D684" s="19"/>
      <c r="H684" s="20"/>
    </row>
    <row r="685" spans="3:8" ht="12.45">
      <c r="C685" s="19"/>
      <c r="D685" s="19"/>
      <c r="H685" s="20"/>
    </row>
    <row r="686" spans="3:8" ht="12.45">
      <c r="C686" s="19"/>
      <c r="D686" s="19"/>
      <c r="H686" s="20"/>
    </row>
    <row r="687" spans="3:8" ht="12.45">
      <c r="C687" s="19"/>
      <c r="D687" s="19"/>
      <c r="H687" s="20"/>
    </row>
    <row r="688" spans="3:8" ht="12.45">
      <c r="C688" s="19"/>
      <c r="D688" s="19"/>
      <c r="H688" s="20"/>
    </row>
    <row r="689" spans="3:8" ht="12.45">
      <c r="C689" s="19"/>
      <c r="D689" s="19"/>
      <c r="H689" s="20"/>
    </row>
    <row r="690" spans="3:8" ht="12.45">
      <c r="C690" s="19"/>
      <c r="D690" s="19"/>
      <c r="H690" s="20"/>
    </row>
    <row r="691" spans="3:8" ht="12.45">
      <c r="C691" s="19"/>
      <c r="D691" s="19"/>
      <c r="H691" s="20"/>
    </row>
    <row r="692" spans="3:8" ht="12.45">
      <c r="C692" s="19"/>
      <c r="D692" s="19"/>
      <c r="H692" s="20"/>
    </row>
    <row r="693" spans="3:8" ht="12.45">
      <c r="C693" s="19"/>
      <c r="D693" s="19"/>
      <c r="H693" s="20"/>
    </row>
    <row r="694" spans="3:8" ht="12.45">
      <c r="C694" s="19"/>
      <c r="D694" s="19"/>
      <c r="H694" s="20"/>
    </row>
    <row r="695" spans="3:8" ht="12.45">
      <c r="C695" s="19"/>
      <c r="D695" s="19"/>
      <c r="H695" s="20"/>
    </row>
    <row r="696" spans="3:8" ht="12.45">
      <c r="C696" s="19"/>
      <c r="D696" s="19"/>
      <c r="H696" s="20"/>
    </row>
    <row r="697" spans="3:8" ht="12.45">
      <c r="C697" s="19"/>
      <c r="D697" s="19"/>
      <c r="H697" s="20"/>
    </row>
    <row r="698" spans="3:8" ht="12.45">
      <c r="C698" s="19"/>
      <c r="D698" s="19"/>
      <c r="H698" s="20"/>
    </row>
    <row r="699" spans="3:8" ht="12.45">
      <c r="C699" s="19"/>
      <c r="D699" s="19"/>
      <c r="H699" s="20"/>
    </row>
    <row r="700" spans="3:8" ht="12.45">
      <c r="C700" s="19"/>
      <c r="D700" s="19"/>
      <c r="H700" s="20"/>
    </row>
    <row r="701" spans="3:8" ht="12.45">
      <c r="C701" s="19"/>
      <c r="D701" s="19"/>
      <c r="H701" s="20"/>
    </row>
    <row r="702" spans="3:8" ht="12.45">
      <c r="C702" s="19"/>
      <c r="D702" s="19"/>
      <c r="H702" s="20"/>
    </row>
    <row r="703" spans="3:8" ht="12.45">
      <c r="C703" s="19"/>
      <c r="D703" s="19"/>
      <c r="H703" s="20"/>
    </row>
    <row r="704" spans="3:8" ht="12.45">
      <c r="C704" s="19"/>
      <c r="D704" s="19"/>
      <c r="H704" s="20"/>
    </row>
    <row r="705" spans="3:8" ht="12.45">
      <c r="C705" s="19"/>
      <c r="D705" s="19"/>
      <c r="H705" s="20"/>
    </row>
    <row r="706" spans="3:8" ht="12.45">
      <c r="C706" s="19"/>
      <c r="D706" s="19"/>
      <c r="H706" s="20"/>
    </row>
    <row r="707" spans="3:8" ht="12.45">
      <c r="C707" s="19"/>
      <c r="D707" s="19"/>
      <c r="H707" s="20"/>
    </row>
    <row r="708" spans="3:8" ht="12.45">
      <c r="C708" s="19"/>
      <c r="D708" s="19"/>
      <c r="H708" s="20"/>
    </row>
    <row r="709" spans="3:8" ht="12.45">
      <c r="C709" s="19"/>
      <c r="D709" s="19"/>
      <c r="H709" s="20"/>
    </row>
    <row r="710" spans="3:8" ht="12.45">
      <c r="C710" s="19"/>
      <c r="D710" s="19"/>
      <c r="H710" s="20"/>
    </row>
    <row r="711" spans="3:8" ht="12.45">
      <c r="C711" s="19"/>
      <c r="D711" s="19"/>
      <c r="H711" s="20"/>
    </row>
    <row r="712" spans="3:8" ht="12.45">
      <c r="C712" s="19"/>
      <c r="D712" s="19"/>
      <c r="H712" s="20"/>
    </row>
    <row r="713" spans="3:8" ht="12.45">
      <c r="C713" s="19"/>
      <c r="D713" s="19"/>
      <c r="H713" s="20"/>
    </row>
    <row r="714" spans="3:8" ht="12.45">
      <c r="C714" s="19"/>
      <c r="D714" s="19"/>
      <c r="H714" s="20"/>
    </row>
    <row r="715" spans="3:8" ht="12.45">
      <c r="C715" s="19"/>
      <c r="D715" s="19"/>
      <c r="H715" s="20"/>
    </row>
    <row r="716" spans="3:8" ht="12.45">
      <c r="C716" s="19"/>
      <c r="D716" s="19"/>
      <c r="H716" s="20"/>
    </row>
    <row r="717" spans="3:8" ht="12.45">
      <c r="C717" s="19"/>
      <c r="D717" s="19"/>
      <c r="H717" s="20"/>
    </row>
    <row r="718" spans="3:8" ht="12.45">
      <c r="C718" s="19"/>
      <c r="D718" s="19"/>
      <c r="H718" s="20"/>
    </row>
    <row r="719" spans="3:8" ht="12.45">
      <c r="C719" s="19"/>
      <c r="D719" s="19"/>
      <c r="H719" s="20"/>
    </row>
    <row r="720" spans="3:8" ht="12.45">
      <c r="C720" s="19"/>
      <c r="D720" s="19"/>
      <c r="H720" s="20"/>
    </row>
    <row r="721" spans="3:8" ht="12.45">
      <c r="C721" s="19"/>
      <c r="D721" s="19"/>
      <c r="H721" s="20"/>
    </row>
    <row r="722" spans="3:8" ht="12.45">
      <c r="C722" s="19"/>
      <c r="D722" s="19"/>
      <c r="H722" s="20"/>
    </row>
    <row r="723" spans="3:8" ht="12.45">
      <c r="C723" s="19"/>
      <c r="D723" s="19"/>
      <c r="H723" s="20"/>
    </row>
    <row r="724" spans="3:8" ht="12.45">
      <c r="C724" s="19"/>
      <c r="D724" s="19"/>
      <c r="H724" s="20"/>
    </row>
    <row r="725" spans="3:8" ht="12.45">
      <c r="C725" s="19"/>
      <c r="D725" s="19"/>
      <c r="H725" s="20"/>
    </row>
    <row r="726" spans="3:8" ht="12.45">
      <c r="C726" s="19"/>
      <c r="D726" s="19"/>
      <c r="H726" s="20"/>
    </row>
    <row r="727" spans="3:8" ht="12.45">
      <c r="C727" s="19"/>
      <c r="D727" s="19"/>
      <c r="H727" s="20"/>
    </row>
    <row r="728" spans="3:8" ht="12.45">
      <c r="C728" s="19"/>
      <c r="D728" s="19"/>
      <c r="H728" s="20"/>
    </row>
    <row r="729" spans="3:8" ht="12.45">
      <c r="C729" s="19"/>
      <c r="D729" s="19"/>
      <c r="H729" s="20"/>
    </row>
    <row r="730" spans="3:8" ht="12.45">
      <c r="C730" s="19"/>
      <c r="D730" s="19"/>
      <c r="H730" s="20"/>
    </row>
    <row r="731" spans="3:8" ht="12.45">
      <c r="C731" s="19"/>
      <c r="D731" s="19"/>
      <c r="H731" s="20"/>
    </row>
    <row r="732" spans="3:8" ht="12.45">
      <c r="C732" s="19"/>
      <c r="D732" s="19"/>
      <c r="H732" s="20"/>
    </row>
    <row r="733" spans="3:8" ht="12.45">
      <c r="C733" s="19"/>
      <c r="D733" s="19"/>
      <c r="H733" s="20"/>
    </row>
    <row r="734" spans="3:8" ht="12.45">
      <c r="C734" s="19"/>
      <c r="D734" s="19"/>
      <c r="H734" s="20"/>
    </row>
    <row r="735" spans="3:8" ht="12.45">
      <c r="C735" s="19"/>
      <c r="D735" s="19"/>
      <c r="H735" s="20"/>
    </row>
    <row r="736" spans="3:8" ht="12.45">
      <c r="C736" s="19"/>
      <c r="D736" s="19"/>
      <c r="H736" s="20"/>
    </row>
    <row r="737" spans="3:8" ht="12.45">
      <c r="C737" s="19"/>
      <c r="D737" s="19"/>
      <c r="H737" s="20"/>
    </row>
    <row r="738" spans="3:8" ht="12.45">
      <c r="C738" s="19"/>
      <c r="D738" s="19"/>
      <c r="H738" s="20"/>
    </row>
    <row r="739" spans="3:8" ht="12.45">
      <c r="C739" s="19"/>
      <c r="D739" s="19"/>
      <c r="H739" s="20"/>
    </row>
    <row r="740" spans="3:8" ht="12.45">
      <c r="C740" s="19"/>
      <c r="D740" s="19"/>
      <c r="H740" s="20"/>
    </row>
    <row r="741" spans="3:8" ht="12.45">
      <c r="C741" s="19"/>
      <c r="D741" s="19"/>
      <c r="H741" s="20"/>
    </row>
    <row r="742" spans="3:8" ht="12.45">
      <c r="C742" s="19"/>
      <c r="D742" s="19"/>
      <c r="H742" s="20"/>
    </row>
    <row r="743" spans="3:8" ht="12.45">
      <c r="C743" s="19"/>
      <c r="D743" s="19"/>
      <c r="H743" s="20"/>
    </row>
    <row r="744" spans="3:8" ht="12.45">
      <c r="C744" s="19"/>
      <c r="D744" s="19"/>
      <c r="H744" s="20"/>
    </row>
    <row r="745" spans="3:8" ht="12.45">
      <c r="C745" s="19"/>
      <c r="D745" s="19"/>
      <c r="H745" s="20"/>
    </row>
    <row r="746" spans="3:8" ht="12.45">
      <c r="C746" s="19"/>
      <c r="D746" s="19"/>
      <c r="H746" s="20"/>
    </row>
    <row r="747" spans="3:8" ht="12.45">
      <c r="C747" s="19"/>
      <c r="D747" s="19"/>
      <c r="H747" s="20"/>
    </row>
    <row r="748" spans="3:8" ht="12.45">
      <c r="C748" s="19"/>
      <c r="D748" s="19"/>
      <c r="H748" s="20"/>
    </row>
    <row r="749" spans="3:8" ht="12.45">
      <c r="C749" s="19"/>
      <c r="D749" s="19"/>
      <c r="H749" s="20"/>
    </row>
    <row r="750" spans="3:8" ht="12.45">
      <c r="C750" s="19"/>
      <c r="D750" s="19"/>
      <c r="H750" s="20"/>
    </row>
    <row r="751" spans="3:8" ht="12.45">
      <c r="C751" s="19"/>
      <c r="D751" s="19"/>
      <c r="H751" s="20"/>
    </row>
    <row r="752" spans="3:8" ht="12.45">
      <c r="C752" s="19"/>
      <c r="D752" s="19"/>
      <c r="H752" s="20"/>
    </row>
    <row r="753" spans="3:8" ht="12.45">
      <c r="C753" s="19"/>
      <c r="D753" s="19"/>
      <c r="H753" s="20"/>
    </row>
    <row r="754" spans="3:8" ht="12.45">
      <c r="C754" s="19"/>
      <c r="D754" s="19"/>
      <c r="H754" s="20"/>
    </row>
    <row r="755" spans="3:8" ht="12.45">
      <c r="C755" s="19"/>
      <c r="D755" s="19"/>
      <c r="H755" s="20"/>
    </row>
    <row r="756" spans="3:8" ht="12.45">
      <c r="C756" s="19"/>
      <c r="D756" s="19"/>
      <c r="H756" s="20"/>
    </row>
    <row r="757" spans="3:8" ht="12.45">
      <c r="C757" s="19"/>
      <c r="D757" s="19"/>
      <c r="H757" s="20"/>
    </row>
    <row r="758" spans="3:8" ht="12.45">
      <c r="C758" s="19"/>
      <c r="D758" s="19"/>
      <c r="H758" s="20"/>
    </row>
    <row r="759" spans="3:8" ht="12.45">
      <c r="C759" s="19"/>
      <c r="D759" s="19"/>
      <c r="H759" s="20"/>
    </row>
    <row r="760" spans="3:8" ht="12.45">
      <c r="C760" s="19"/>
      <c r="D760" s="19"/>
      <c r="H760" s="20"/>
    </row>
    <row r="761" spans="3:8" ht="12.45">
      <c r="C761" s="19"/>
      <c r="D761" s="19"/>
      <c r="H761" s="20"/>
    </row>
    <row r="762" spans="3:8" ht="12.45">
      <c r="C762" s="19"/>
      <c r="D762" s="19"/>
      <c r="H762" s="20"/>
    </row>
    <row r="763" spans="3:8" ht="12.45">
      <c r="C763" s="19"/>
      <c r="D763" s="19"/>
      <c r="H763" s="20"/>
    </row>
    <row r="764" spans="3:8" ht="12.45">
      <c r="C764" s="19"/>
      <c r="D764" s="19"/>
      <c r="H764" s="20"/>
    </row>
    <row r="765" spans="3:8" ht="12.45">
      <c r="C765" s="19"/>
      <c r="D765" s="19"/>
      <c r="H765" s="20"/>
    </row>
    <row r="766" spans="3:8" ht="12.45">
      <c r="C766" s="19"/>
      <c r="D766" s="19"/>
      <c r="H766" s="20"/>
    </row>
    <row r="767" spans="3:8" ht="12.45">
      <c r="C767" s="19"/>
      <c r="D767" s="19"/>
      <c r="H767" s="20"/>
    </row>
    <row r="768" spans="3:8" ht="12.45">
      <c r="C768" s="19"/>
      <c r="D768" s="19"/>
      <c r="H768" s="20"/>
    </row>
    <row r="769" spans="3:8" ht="12.45">
      <c r="C769" s="19"/>
      <c r="D769" s="19"/>
      <c r="H769" s="20"/>
    </row>
    <row r="770" spans="3:8" ht="12.45">
      <c r="C770" s="19"/>
      <c r="D770" s="19"/>
      <c r="H770" s="20"/>
    </row>
    <row r="771" spans="3:8" ht="12.45">
      <c r="C771" s="19"/>
      <c r="D771" s="19"/>
      <c r="H771" s="20"/>
    </row>
    <row r="772" spans="3:8" ht="12.45">
      <c r="C772" s="19"/>
      <c r="D772" s="19"/>
      <c r="H772" s="20"/>
    </row>
    <row r="773" spans="3:8" ht="12.45">
      <c r="C773" s="19"/>
      <c r="D773" s="19"/>
      <c r="H773" s="20"/>
    </row>
    <row r="774" spans="3:8" ht="12.45">
      <c r="C774" s="19"/>
      <c r="D774" s="19"/>
      <c r="H774" s="20"/>
    </row>
    <row r="775" spans="3:8" ht="12.45">
      <c r="C775" s="19"/>
      <c r="D775" s="19"/>
      <c r="H775" s="20"/>
    </row>
    <row r="776" spans="3:8" ht="12.45">
      <c r="C776" s="19"/>
      <c r="D776" s="19"/>
      <c r="H776" s="20"/>
    </row>
    <row r="777" spans="3:8" ht="12.45">
      <c r="C777" s="19"/>
      <c r="D777" s="19"/>
      <c r="H777" s="20"/>
    </row>
    <row r="778" spans="3:8" ht="12.45">
      <c r="C778" s="19"/>
      <c r="D778" s="19"/>
      <c r="H778" s="20"/>
    </row>
    <row r="779" spans="3:8" ht="12.45">
      <c r="C779" s="19"/>
      <c r="D779" s="19"/>
      <c r="H779" s="20"/>
    </row>
    <row r="780" spans="3:8" ht="12.45">
      <c r="C780" s="19"/>
      <c r="D780" s="19"/>
      <c r="H780" s="20"/>
    </row>
    <row r="781" spans="3:8" ht="12.45">
      <c r="C781" s="19"/>
      <c r="D781" s="19"/>
      <c r="H781" s="20"/>
    </row>
    <row r="782" spans="3:8" ht="12.45">
      <c r="C782" s="19"/>
      <c r="D782" s="19"/>
      <c r="H782" s="20"/>
    </row>
    <row r="783" spans="3:8" ht="12.45">
      <c r="C783" s="19"/>
      <c r="D783" s="19"/>
      <c r="H783" s="20"/>
    </row>
    <row r="784" spans="3:8" ht="12.45">
      <c r="C784" s="19"/>
      <c r="D784" s="19"/>
      <c r="H784" s="20"/>
    </row>
    <row r="785" spans="3:8" ht="12.45">
      <c r="C785" s="19"/>
      <c r="D785" s="19"/>
      <c r="H785" s="20"/>
    </row>
    <row r="786" spans="3:8" ht="12.45">
      <c r="C786" s="19"/>
      <c r="D786" s="19"/>
      <c r="H786" s="20"/>
    </row>
    <row r="787" spans="3:8" ht="12.45">
      <c r="C787" s="19"/>
      <c r="D787" s="19"/>
      <c r="H787" s="20"/>
    </row>
    <row r="788" spans="3:8" ht="12.45">
      <c r="C788" s="19"/>
      <c r="D788" s="19"/>
      <c r="H788" s="20"/>
    </row>
    <row r="789" spans="3:8" ht="12.45">
      <c r="C789" s="19"/>
      <c r="D789" s="19"/>
      <c r="H789" s="20"/>
    </row>
    <row r="790" spans="3:8" ht="12.45">
      <c r="C790" s="19"/>
      <c r="D790" s="19"/>
      <c r="H790" s="20"/>
    </row>
    <row r="791" spans="3:8" ht="12.45">
      <c r="C791" s="19"/>
      <c r="D791" s="19"/>
      <c r="H791" s="20"/>
    </row>
    <row r="792" spans="3:8" ht="12.45">
      <c r="C792" s="19"/>
      <c r="D792" s="19"/>
      <c r="H792" s="20"/>
    </row>
    <row r="793" spans="3:8" ht="12.45">
      <c r="C793" s="19"/>
      <c r="D793" s="19"/>
      <c r="H793" s="20"/>
    </row>
    <row r="794" spans="3:8" ht="12.45">
      <c r="C794" s="19"/>
      <c r="D794" s="19"/>
      <c r="H794" s="20"/>
    </row>
    <row r="795" spans="3:8" ht="12.45">
      <c r="C795" s="19"/>
      <c r="D795" s="19"/>
      <c r="H795" s="20"/>
    </row>
    <row r="796" spans="3:8" ht="12.45">
      <c r="C796" s="19"/>
      <c r="D796" s="19"/>
      <c r="H796" s="20"/>
    </row>
    <row r="797" spans="3:8" ht="12.45">
      <c r="C797" s="19"/>
      <c r="D797" s="19"/>
      <c r="H797" s="20"/>
    </row>
    <row r="798" spans="3:8" ht="12.45">
      <c r="C798" s="19"/>
      <c r="D798" s="19"/>
      <c r="H798" s="20"/>
    </row>
    <row r="799" spans="3:8" ht="12.45">
      <c r="C799" s="19"/>
      <c r="D799" s="19"/>
      <c r="H799" s="20"/>
    </row>
    <row r="800" spans="3:8" ht="12.45">
      <c r="C800" s="19"/>
      <c r="D800" s="19"/>
      <c r="H800" s="20"/>
    </row>
    <row r="801" spans="3:8" ht="12.45">
      <c r="C801" s="19"/>
      <c r="D801" s="19"/>
      <c r="H801" s="20"/>
    </row>
    <row r="802" spans="3:8" ht="12.45">
      <c r="C802" s="19"/>
      <c r="D802" s="19"/>
      <c r="H802" s="20"/>
    </row>
    <row r="803" spans="3:8" ht="12.45">
      <c r="C803" s="19"/>
      <c r="D803" s="19"/>
      <c r="H803" s="20"/>
    </row>
    <row r="804" spans="3:8" ht="12.45">
      <c r="C804" s="19"/>
      <c r="D804" s="19"/>
      <c r="H804" s="20"/>
    </row>
    <row r="805" spans="3:8" ht="12.45">
      <c r="C805" s="19"/>
      <c r="D805" s="19"/>
      <c r="H805" s="20"/>
    </row>
    <row r="806" spans="3:8" ht="12.45">
      <c r="C806" s="19"/>
      <c r="D806" s="19"/>
      <c r="H806" s="20"/>
    </row>
    <row r="807" spans="3:8" ht="12.45">
      <c r="C807" s="19"/>
      <c r="D807" s="19"/>
      <c r="H807" s="20"/>
    </row>
    <row r="808" spans="3:8" ht="12.45">
      <c r="C808" s="19"/>
      <c r="D808" s="19"/>
      <c r="H808" s="20"/>
    </row>
    <row r="809" spans="3:8" ht="12.45">
      <c r="C809" s="19"/>
      <c r="D809" s="19"/>
      <c r="H809" s="20"/>
    </row>
    <row r="810" spans="3:8" ht="12.45">
      <c r="C810" s="19"/>
      <c r="D810" s="19"/>
      <c r="H810" s="20"/>
    </row>
    <row r="811" spans="3:8" ht="12.45">
      <c r="C811" s="19"/>
      <c r="D811" s="19"/>
      <c r="H811" s="20"/>
    </row>
    <row r="812" spans="3:8" ht="12.45">
      <c r="C812" s="19"/>
      <c r="D812" s="19"/>
      <c r="H812" s="20"/>
    </row>
    <row r="813" spans="3:8" ht="12.45">
      <c r="C813" s="19"/>
      <c r="D813" s="19"/>
      <c r="H813" s="20"/>
    </row>
    <row r="814" spans="3:8" ht="12.45">
      <c r="C814" s="19"/>
      <c r="D814" s="19"/>
      <c r="H814" s="20"/>
    </row>
    <row r="815" spans="3:8" ht="12.45">
      <c r="C815" s="19"/>
      <c r="D815" s="19"/>
      <c r="H815" s="20"/>
    </row>
    <row r="816" spans="3:8" ht="12.45">
      <c r="C816" s="19"/>
      <c r="D816" s="19"/>
      <c r="H816" s="20"/>
    </row>
    <row r="817" spans="3:8" ht="12.45">
      <c r="C817" s="19"/>
      <c r="D817" s="19"/>
      <c r="H817" s="20"/>
    </row>
    <row r="818" spans="3:8" ht="12.45">
      <c r="C818" s="19"/>
      <c r="D818" s="19"/>
      <c r="H818" s="20"/>
    </row>
    <row r="819" spans="3:8" ht="12.45">
      <c r="C819" s="19"/>
      <c r="D819" s="19"/>
      <c r="H819" s="20"/>
    </row>
    <row r="820" spans="3:8" ht="12.45">
      <c r="C820" s="19"/>
      <c r="D820" s="19"/>
      <c r="H820" s="20"/>
    </row>
    <row r="821" spans="3:8" ht="12.45">
      <c r="C821" s="19"/>
      <c r="D821" s="19"/>
      <c r="H821" s="20"/>
    </row>
    <row r="822" spans="3:8" ht="12.45">
      <c r="C822" s="19"/>
      <c r="D822" s="19"/>
      <c r="H822" s="20"/>
    </row>
    <row r="823" spans="3:8" ht="12.45">
      <c r="C823" s="19"/>
      <c r="D823" s="19"/>
      <c r="H823" s="20"/>
    </row>
    <row r="824" spans="3:8" ht="12.45">
      <c r="C824" s="19"/>
      <c r="D824" s="19"/>
      <c r="H824" s="20"/>
    </row>
    <row r="825" spans="3:8" ht="12.45">
      <c r="C825" s="19"/>
      <c r="D825" s="19"/>
      <c r="H825" s="20"/>
    </row>
    <row r="826" spans="3:8" ht="12.45">
      <c r="C826" s="19"/>
      <c r="D826" s="19"/>
      <c r="H826" s="20"/>
    </row>
    <row r="827" spans="3:8" ht="12.45">
      <c r="C827" s="19"/>
      <c r="D827" s="19"/>
      <c r="H827" s="20"/>
    </row>
    <row r="828" spans="3:8" ht="12.45">
      <c r="C828" s="19"/>
      <c r="D828" s="19"/>
      <c r="H828" s="20"/>
    </row>
    <row r="829" spans="3:8" ht="12.45">
      <c r="C829" s="19"/>
      <c r="D829" s="19"/>
      <c r="H829" s="20"/>
    </row>
    <row r="830" spans="3:8" ht="12.45">
      <c r="C830" s="19"/>
      <c r="D830" s="19"/>
      <c r="H830" s="20"/>
    </row>
    <row r="831" spans="3:8" ht="12.45">
      <c r="C831" s="19"/>
      <c r="D831" s="19"/>
      <c r="H831" s="20"/>
    </row>
    <row r="832" spans="3:8" ht="12.45">
      <c r="C832" s="19"/>
      <c r="D832" s="19"/>
      <c r="H832" s="20"/>
    </row>
    <row r="833" spans="3:8" ht="12.45">
      <c r="C833" s="19"/>
      <c r="D833" s="19"/>
      <c r="H833" s="20"/>
    </row>
    <row r="834" spans="3:8" ht="12.45">
      <c r="C834" s="19"/>
      <c r="D834" s="19"/>
      <c r="H834" s="20"/>
    </row>
    <row r="835" spans="3:8" ht="12.45">
      <c r="C835" s="19"/>
      <c r="D835" s="19"/>
      <c r="H835" s="20"/>
    </row>
    <row r="836" spans="3:8" ht="12.45">
      <c r="C836" s="19"/>
      <c r="D836" s="19"/>
      <c r="H836" s="20"/>
    </row>
    <row r="837" spans="3:8" ht="12.45">
      <c r="C837" s="19"/>
      <c r="D837" s="19"/>
      <c r="H837" s="20"/>
    </row>
    <row r="838" spans="3:8" ht="12.45">
      <c r="C838" s="19"/>
      <c r="D838" s="19"/>
      <c r="H838" s="20"/>
    </row>
    <row r="839" spans="3:8" ht="12.45">
      <c r="C839" s="19"/>
      <c r="D839" s="19"/>
      <c r="H839" s="20"/>
    </row>
    <row r="840" spans="3:8" ht="12.45">
      <c r="C840" s="19"/>
      <c r="D840" s="19"/>
      <c r="H840" s="20"/>
    </row>
    <row r="841" spans="3:8" ht="12.45">
      <c r="C841" s="19"/>
      <c r="D841" s="19"/>
      <c r="H841" s="20"/>
    </row>
    <row r="842" spans="3:8" ht="12.45">
      <c r="C842" s="19"/>
      <c r="D842" s="19"/>
      <c r="H842" s="20"/>
    </row>
    <row r="843" spans="3:8" ht="12.45">
      <c r="C843" s="19"/>
      <c r="D843" s="19"/>
      <c r="H843" s="20"/>
    </row>
    <row r="844" spans="3:8" ht="12.45">
      <c r="C844" s="19"/>
      <c r="D844" s="19"/>
      <c r="H844" s="20"/>
    </row>
    <row r="845" spans="3:8" ht="12.45">
      <c r="C845" s="19"/>
      <c r="D845" s="19"/>
      <c r="H845" s="20"/>
    </row>
    <row r="846" spans="3:8" ht="12.45">
      <c r="C846" s="19"/>
      <c r="D846" s="19"/>
      <c r="H846" s="20"/>
    </row>
    <row r="847" spans="3:8" ht="12.45">
      <c r="C847" s="19"/>
      <c r="D847" s="19"/>
      <c r="H847" s="20"/>
    </row>
    <row r="848" spans="3:8" ht="12.45">
      <c r="C848" s="19"/>
      <c r="D848" s="19"/>
      <c r="H848" s="20"/>
    </row>
    <row r="849" spans="3:8" ht="12.45">
      <c r="C849" s="19"/>
      <c r="D849" s="19"/>
      <c r="H849" s="20"/>
    </row>
    <row r="850" spans="3:8" ht="12.45">
      <c r="C850" s="19"/>
      <c r="D850" s="19"/>
      <c r="H850" s="20"/>
    </row>
    <row r="851" spans="3:8" ht="12.45">
      <c r="C851" s="19"/>
      <c r="D851" s="19"/>
      <c r="H851" s="20"/>
    </row>
    <row r="852" spans="3:8" ht="12.45">
      <c r="C852" s="19"/>
      <c r="D852" s="19"/>
      <c r="H852" s="20"/>
    </row>
    <row r="853" spans="3:8" ht="12.45">
      <c r="C853" s="19"/>
      <c r="D853" s="19"/>
      <c r="H853" s="20"/>
    </row>
    <row r="854" spans="3:8" ht="12.45">
      <c r="C854" s="19"/>
      <c r="D854" s="19"/>
      <c r="H854" s="20"/>
    </row>
    <row r="855" spans="3:8" ht="12.45">
      <c r="C855" s="19"/>
      <c r="D855" s="19"/>
      <c r="H855" s="20"/>
    </row>
    <row r="856" spans="3:8" ht="12.45">
      <c r="C856" s="19"/>
      <c r="D856" s="19"/>
      <c r="H856" s="20"/>
    </row>
    <row r="857" spans="3:8" ht="12.45">
      <c r="C857" s="19"/>
      <c r="D857" s="19"/>
      <c r="H857" s="20"/>
    </row>
    <row r="858" spans="3:8" ht="12.45">
      <c r="C858" s="19"/>
      <c r="D858" s="19"/>
      <c r="H858" s="20"/>
    </row>
    <row r="859" spans="3:8" ht="12.45">
      <c r="C859" s="19"/>
      <c r="D859" s="19"/>
      <c r="H859" s="20"/>
    </row>
    <row r="860" spans="3:8" ht="12.45">
      <c r="C860" s="19"/>
      <c r="D860" s="19"/>
      <c r="H860" s="20"/>
    </row>
    <row r="861" spans="3:8" ht="12.45">
      <c r="C861" s="19"/>
      <c r="D861" s="19"/>
      <c r="H861" s="20"/>
    </row>
    <row r="862" spans="3:8" ht="12.45">
      <c r="C862" s="19"/>
      <c r="D862" s="19"/>
      <c r="H862" s="20"/>
    </row>
    <row r="863" spans="3:8" ht="12.45">
      <c r="C863" s="19"/>
      <c r="D863" s="19"/>
      <c r="H863" s="20"/>
    </row>
    <row r="864" spans="3:8" ht="12.45">
      <c r="C864" s="19"/>
      <c r="D864" s="19"/>
      <c r="H864" s="20"/>
    </row>
    <row r="865" spans="3:8" ht="12.45">
      <c r="C865" s="19"/>
      <c r="D865" s="19"/>
      <c r="H865" s="20"/>
    </row>
    <row r="866" spans="3:8" ht="12.45">
      <c r="C866" s="19"/>
      <c r="D866" s="19"/>
      <c r="H866" s="20"/>
    </row>
    <row r="867" spans="3:8" ht="12.45">
      <c r="C867" s="19"/>
      <c r="D867" s="19"/>
      <c r="H867" s="20"/>
    </row>
    <row r="868" spans="3:8" ht="12.45">
      <c r="C868" s="19"/>
      <c r="D868" s="19"/>
      <c r="H868" s="20"/>
    </row>
    <row r="869" spans="3:8" ht="12.45">
      <c r="C869" s="19"/>
      <c r="D869" s="19"/>
      <c r="H869" s="20"/>
    </row>
    <row r="870" spans="3:8" ht="12.45">
      <c r="C870" s="19"/>
      <c r="D870" s="19"/>
      <c r="H870" s="20"/>
    </row>
    <row r="871" spans="3:8" ht="12.45">
      <c r="C871" s="19"/>
      <c r="D871" s="19"/>
      <c r="H871" s="20"/>
    </row>
    <row r="872" spans="3:8" ht="12.45">
      <c r="C872" s="19"/>
      <c r="D872" s="19"/>
      <c r="H872" s="20"/>
    </row>
    <row r="873" spans="3:8" ht="12.45">
      <c r="C873" s="19"/>
      <c r="D873" s="19"/>
      <c r="H873" s="20"/>
    </row>
    <row r="874" spans="3:8" ht="12.45">
      <c r="C874" s="19"/>
      <c r="D874" s="19"/>
      <c r="H874" s="20"/>
    </row>
    <row r="875" spans="3:8" ht="12.45">
      <c r="C875" s="19"/>
      <c r="D875" s="19"/>
      <c r="H875" s="20"/>
    </row>
    <row r="876" spans="3:8" ht="12.45">
      <c r="C876" s="19"/>
      <c r="D876" s="19"/>
      <c r="H876" s="20"/>
    </row>
    <row r="877" spans="3:8" ht="12.45">
      <c r="C877" s="19"/>
      <c r="D877" s="19"/>
      <c r="H877" s="20"/>
    </row>
    <row r="878" spans="3:8" ht="12.45">
      <c r="C878" s="19"/>
      <c r="D878" s="19"/>
      <c r="H878" s="20"/>
    </row>
    <row r="879" spans="3:8" ht="12.45">
      <c r="C879" s="19"/>
      <c r="D879" s="19"/>
      <c r="H879" s="20"/>
    </row>
    <row r="880" spans="3:8" ht="12.45">
      <c r="C880" s="19"/>
      <c r="D880" s="19"/>
      <c r="H880" s="20"/>
    </row>
    <row r="881" spans="3:8" ht="12.45">
      <c r="C881" s="19"/>
      <c r="D881" s="19"/>
      <c r="H881" s="20"/>
    </row>
    <row r="882" spans="3:8" ht="12.45">
      <c r="C882" s="19"/>
      <c r="D882" s="19"/>
      <c r="H882" s="20"/>
    </row>
    <row r="883" spans="3:8" ht="12.45">
      <c r="C883" s="19"/>
      <c r="D883" s="19"/>
      <c r="H883" s="20"/>
    </row>
    <row r="884" spans="3:8" ht="12.45">
      <c r="C884" s="19"/>
      <c r="D884" s="19"/>
      <c r="H884" s="20"/>
    </row>
    <row r="885" spans="3:8" ht="12.45">
      <c r="C885" s="19"/>
      <c r="D885" s="19"/>
      <c r="H885" s="20"/>
    </row>
    <row r="886" spans="3:8" ht="12.45">
      <c r="C886" s="19"/>
      <c r="D886" s="19"/>
      <c r="H886" s="20"/>
    </row>
    <row r="887" spans="3:8" ht="12.45">
      <c r="C887" s="19"/>
      <c r="D887" s="19"/>
      <c r="H887" s="20"/>
    </row>
    <row r="888" spans="3:8" ht="12.45">
      <c r="C888" s="19"/>
      <c r="D888" s="19"/>
      <c r="H888" s="20"/>
    </row>
    <row r="889" spans="3:8" ht="12.45">
      <c r="C889" s="19"/>
      <c r="D889" s="19"/>
      <c r="H889" s="20"/>
    </row>
    <row r="890" spans="3:8" ht="12.45">
      <c r="C890" s="19"/>
      <c r="D890" s="19"/>
      <c r="H890" s="20"/>
    </row>
    <row r="891" spans="3:8" ht="12.45">
      <c r="C891" s="19"/>
      <c r="D891" s="19"/>
      <c r="H891" s="20"/>
    </row>
    <row r="892" spans="3:8" ht="12.45">
      <c r="C892" s="19"/>
      <c r="D892" s="19"/>
      <c r="H892" s="20"/>
    </row>
    <row r="893" spans="3:8" ht="12.45">
      <c r="C893" s="19"/>
      <c r="D893" s="19"/>
      <c r="H893" s="20"/>
    </row>
    <row r="894" spans="3:8" ht="12.45">
      <c r="C894" s="19"/>
      <c r="D894" s="19"/>
      <c r="H894" s="20"/>
    </row>
    <row r="895" spans="3:8" ht="12.45">
      <c r="C895" s="19"/>
      <c r="D895" s="19"/>
      <c r="H895" s="20"/>
    </row>
    <row r="896" spans="3:8" ht="12.45">
      <c r="C896" s="19"/>
      <c r="D896" s="19"/>
      <c r="H896" s="20"/>
    </row>
    <row r="897" spans="3:8" ht="12.45">
      <c r="C897" s="19"/>
      <c r="D897" s="19"/>
      <c r="H897" s="20"/>
    </row>
    <row r="898" spans="3:8" ht="12.45">
      <c r="C898" s="19"/>
      <c r="D898" s="19"/>
      <c r="H898" s="20"/>
    </row>
    <row r="899" spans="3:8" ht="12.45">
      <c r="C899" s="19"/>
      <c r="D899" s="19"/>
      <c r="H899" s="20"/>
    </row>
    <row r="900" spans="3:8" ht="12.45">
      <c r="C900" s="19"/>
      <c r="D900" s="19"/>
      <c r="H900" s="20"/>
    </row>
    <row r="901" spans="3:8" ht="12.45">
      <c r="C901" s="19"/>
      <c r="D901" s="19"/>
      <c r="H901" s="20"/>
    </row>
    <row r="902" spans="3:8" ht="12.45">
      <c r="C902" s="19"/>
      <c r="D902" s="19"/>
      <c r="H902" s="20"/>
    </row>
    <row r="903" spans="3:8" ht="12.45">
      <c r="C903" s="19"/>
      <c r="D903" s="19"/>
      <c r="H903" s="20"/>
    </row>
    <row r="904" spans="3:8" ht="12.45">
      <c r="C904" s="19"/>
      <c r="D904" s="19"/>
      <c r="H904" s="20"/>
    </row>
    <row r="905" spans="3:8" ht="12.45">
      <c r="C905" s="19"/>
      <c r="D905" s="19"/>
      <c r="H905" s="20"/>
    </row>
    <row r="906" spans="3:8" ht="12.45">
      <c r="C906" s="19"/>
      <c r="D906" s="19"/>
      <c r="H906" s="20"/>
    </row>
    <row r="907" spans="3:8" ht="12.45">
      <c r="C907" s="19"/>
      <c r="D907" s="19"/>
      <c r="H907" s="20"/>
    </row>
    <row r="908" spans="3:8" ht="12.45">
      <c r="C908" s="19"/>
      <c r="D908" s="19"/>
      <c r="H908" s="20"/>
    </row>
    <row r="909" spans="3:8" ht="12.45">
      <c r="C909" s="19"/>
      <c r="D909" s="19"/>
      <c r="H909" s="20"/>
    </row>
    <row r="910" spans="3:8" ht="12.45">
      <c r="C910" s="19"/>
      <c r="D910" s="19"/>
      <c r="H910" s="20"/>
    </row>
    <row r="911" spans="3:8" ht="12.45">
      <c r="C911" s="19"/>
      <c r="D911" s="19"/>
      <c r="H911" s="20"/>
    </row>
    <row r="912" spans="3:8" ht="12.45">
      <c r="C912" s="19"/>
      <c r="D912" s="19"/>
      <c r="H912" s="20"/>
    </row>
    <row r="913" spans="3:8" ht="12.45">
      <c r="C913" s="19"/>
      <c r="D913" s="19"/>
      <c r="H913" s="20"/>
    </row>
    <row r="914" spans="3:8" ht="12.45">
      <c r="C914" s="19"/>
      <c r="D914" s="19"/>
      <c r="H914" s="20"/>
    </row>
    <row r="915" spans="3:8" ht="12.45">
      <c r="C915" s="19"/>
      <c r="D915" s="19"/>
      <c r="H915" s="20"/>
    </row>
    <row r="916" spans="3:8" ht="12.45">
      <c r="C916" s="19"/>
      <c r="D916" s="19"/>
      <c r="H916" s="20"/>
    </row>
    <row r="917" spans="3:8" ht="12.45">
      <c r="C917" s="19"/>
      <c r="D917" s="19"/>
      <c r="H917" s="20"/>
    </row>
    <row r="918" spans="3:8" ht="12.45">
      <c r="C918" s="19"/>
      <c r="D918" s="19"/>
      <c r="H918" s="20"/>
    </row>
    <row r="919" spans="3:8" ht="12.45">
      <c r="C919" s="19"/>
      <c r="D919" s="19"/>
      <c r="H919" s="20"/>
    </row>
    <row r="920" spans="3:8" ht="12.45">
      <c r="C920" s="19"/>
      <c r="D920" s="19"/>
      <c r="H920" s="20"/>
    </row>
    <row r="921" spans="3:8" ht="12.45">
      <c r="C921" s="19"/>
      <c r="D921" s="19"/>
      <c r="H921" s="20"/>
    </row>
    <row r="922" spans="3:8" ht="12.45">
      <c r="C922" s="19"/>
      <c r="D922" s="19"/>
      <c r="H922" s="20"/>
    </row>
    <row r="923" spans="3:8" ht="12.45">
      <c r="C923" s="19"/>
      <c r="D923" s="19"/>
      <c r="H923" s="20"/>
    </row>
    <row r="924" spans="3:8" ht="12.45">
      <c r="C924" s="19"/>
      <c r="D924" s="19"/>
      <c r="H924" s="20"/>
    </row>
    <row r="925" spans="3:8" ht="12.45">
      <c r="C925" s="19"/>
      <c r="D925" s="19"/>
      <c r="H925" s="20"/>
    </row>
    <row r="926" spans="3:8" ht="12.45">
      <c r="C926" s="19"/>
      <c r="D926" s="19"/>
      <c r="H926" s="20"/>
    </row>
    <row r="927" spans="3:8" ht="12.45">
      <c r="C927" s="19"/>
      <c r="D927" s="19"/>
      <c r="H927" s="20"/>
    </row>
    <row r="928" spans="3:8" ht="12.45">
      <c r="C928" s="19"/>
      <c r="D928" s="19"/>
      <c r="H928" s="20"/>
    </row>
    <row r="929" spans="3:8" ht="12.45">
      <c r="C929" s="19"/>
      <c r="D929" s="19"/>
      <c r="H929" s="20"/>
    </row>
    <row r="930" spans="3:8" ht="12.45">
      <c r="C930" s="19"/>
      <c r="D930" s="19"/>
      <c r="H930" s="20"/>
    </row>
    <row r="931" spans="3:8" ht="12.45">
      <c r="C931" s="19"/>
      <c r="D931" s="19"/>
      <c r="H931" s="20"/>
    </row>
    <row r="932" spans="3:8" ht="12.45">
      <c r="C932" s="19"/>
      <c r="D932" s="19"/>
      <c r="H932" s="20"/>
    </row>
    <row r="933" spans="3:8" ht="12.45">
      <c r="C933" s="19"/>
      <c r="D933" s="19"/>
      <c r="H933" s="20"/>
    </row>
    <row r="934" spans="3:8" ht="12.45">
      <c r="C934" s="19"/>
      <c r="D934" s="19"/>
      <c r="H934" s="20"/>
    </row>
    <row r="935" spans="3:8" ht="12.45">
      <c r="C935" s="19"/>
      <c r="D935" s="19"/>
      <c r="H935" s="20"/>
    </row>
    <row r="936" spans="3:8" ht="12.45">
      <c r="C936" s="19"/>
      <c r="D936" s="19"/>
      <c r="H936" s="20"/>
    </row>
    <row r="937" spans="3:8" ht="12.45">
      <c r="C937" s="19"/>
      <c r="D937" s="19"/>
      <c r="H937" s="20"/>
    </row>
    <row r="938" spans="3:8" ht="12.45">
      <c r="C938" s="19"/>
      <c r="D938" s="19"/>
      <c r="H938" s="20"/>
    </row>
    <row r="939" spans="3:8" ht="12.45">
      <c r="C939" s="19"/>
      <c r="D939" s="19"/>
      <c r="H939" s="20"/>
    </row>
    <row r="940" spans="3:8" ht="12.45">
      <c r="C940" s="19"/>
      <c r="D940" s="19"/>
      <c r="H940" s="20"/>
    </row>
    <row r="941" spans="3:8" ht="12.45">
      <c r="C941" s="19"/>
      <c r="D941" s="19"/>
      <c r="H941" s="20"/>
    </row>
    <row r="942" spans="3:8" ht="12.45">
      <c r="C942" s="19"/>
      <c r="D942" s="19"/>
      <c r="H942" s="20"/>
    </row>
    <row r="943" spans="3:8" ht="12.45">
      <c r="C943" s="19"/>
      <c r="D943" s="19"/>
      <c r="H943" s="20"/>
    </row>
    <row r="944" spans="3:8" ht="12.45">
      <c r="C944" s="19"/>
      <c r="D944" s="19"/>
      <c r="H944" s="20"/>
    </row>
    <row r="945" spans="3:8" ht="12.45">
      <c r="C945" s="19"/>
      <c r="D945" s="19"/>
      <c r="H945" s="20"/>
    </row>
    <row r="946" spans="3:8" ht="12.45">
      <c r="C946" s="19"/>
      <c r="D946" s="19"/>
      <c r="H946" s="20"/>
    </row>
    <row r="947" spans="3:8" ht="12.45">
      <c r="C947" s="19"/>
      <c r="D947" s="19"/>
      <c r="H947" s="20"/>
    </row>
    <row r="948" spans="3:8" ht="12.45">
      <c r="C948" s="19"/>
      <c r="D948" s="19"/>
      <c r="H948" s="20"/>
    </row>
    <row r="949" spans="3:8" ht="12.45">
      <c r="C949" s="19"/>
      <c r="D949" s="19"/>
      <c r="H949" s="20"/>
    </row>
    <row r="950" spans="3:8" ht="12.45">
      <c r="C950" s="19"/>
      <c r="D950" s="19"/>
      <c r="H950" s="20"/>
    </row>
    <row r="951" spans="3:8" ht="12.45">
      <c r="C951" s="19"/>
      <c r="D951" s="19"/>
      <c r="H951" s="20"/>
    </row>
    <row r="952" spans="3:8" ht="12.45">
      <c r="C952" s="19"/>
      <c r="D952" s="19"/>
      <c r="H952" s="20"/>
    </row>
    <row r="953" spans="3:8" ht="12.45">
      <c r="C953" s="19"/>
      <c r="D953" s="19"/>
      <c r="H953" s="20"/>
    </row>
    <row r="954" spans="3:8" ht="12.45">
      <c r="C954" s="19"/>
      <c r="D954" s="19"/>
      <c r="H954" s="20"/>
    </row>
    <row r="955" spans="3:8" ht="12.45">
      <c r="C955" s="19"/>
      <c r="D955" s="19"/>
      <c r="H955" s="20"/>
    </row>
    <row r="956" spans="3:8" ht="12.45">
      <c r="C956" s="19"/>
      <c r="D956" s="19"/>
      <c r="H956" s="20"/>
    </row>
    <row r="957" spans="3:8" ht="12.45">
      <c r="C957" s="19"/>
      <c r="D957" s="19"/>
      <c r="H957" s="20"/>
    </row>
    <row r="958" spans="3:8" ht="12.45">
      <c r="C958" s="19"/>
      <c r="D958" s="19"/>
      <c r="H958" s="20"/>
    </row>
    <row r="959" spans="3:8" ht="12.45">
      <c r="C959" s="19"/>
      <c r="D959" s="19"/>
      <c r="H959" s="20"/>
    </row>
    <row r="960" spans="3:8" ht="12.45">
      <c r="C960" s="19"/>
      <c r="D960" s="19"/>
      <c r="H960" s="20"/>
    </row>
    <row r="961" spans="3:8" ht="12.45">
      <c r="C961" s="19"/>
      <c r="D961" s="19"/>
      <c r="H961" s="20"/>
    </row>
    <row r="962" spans="3:8" ht="12.45">
      <c r="C962" s="19"/>
      <c r="D962" s="19"/>
      <c r="H962" s="20"/>
    </row>
    <row r="963" spans="3:8" ht="12.45">
      <c r="C963" s="19"/>
      <c r="D963" s="19"/>
      <c r="H963" s="20"/>
    </row>
    <row r="964" spans="3:8" ht="12.45">
      <c r="C964" s="19"/>
      <c r="D964" s="19"/>
      <c r="H964" s="20"/>
    </row>
    <row r="965" spans="3:8" ht="12.45">
      <c r="C965" s="19"/>
      <c r="D965" s="19"/>
      <c r="H965" s="20"/>
    </row>
    <row r="966" spans="3:8" ht="12.45">
      <c r="C966" s="19"/>
      <c r="D966" s="19"/>
      <c r="H966" s="20"/>
    </row>
    <row r="967" spans="3:8" ht="12.45">
      <c r="C967" s="19"/>
      <c r="D967" s="19"/>
      <c r="H967" s="20"/>
    </row>
    <row r="968" spans="3:8" ht="12.45">
      <c r="C968" s="19"/>
      <c r="D968" s="19"/>
      <c r="H968" s="20"/>
    </row>
    <row r="969" spans="3:8" ht="12.45">
      <c r="C969" s="19"/>
      <c r="D969" s="19"/>
      <c r="H969" s="20"/>
    </row>
    <row r="970" spans="3:8" ht="12.45">
      <c r="C970" s="19"/>
      <c r="D970" s="19"/>
      <c r="H970" s="20"/>
    </row>
    <row r="971" spans="3:8" ht="12.45">
      <c r="C971" s="19"/>
      <c r="D971" s="19"/>
      <c r="H971" s="20"/>
    </row>
    <row r="972" spans="3:8" ht="12.45">
      <c r="C972" s="19"/>
      <c r="D972" s="19"/>
      <c r="H972" s="20"/>
    </row>
    <row r="973" spans="3:8" ht="12.45">
      <c r="C973" s="19"/>
      <c r="D973" s="19"/>
      <c r="H973" s="20"/>
    </row>
    <row r="974" spans="3:8" ht="12.45">
      <c r="C974" s="19"/>
      <c r="D974" s="19"/>
      <c r="H974" s="20"/>
    </row>
    <row r="975" spans="3:8" ht="12.45">
      <c r="C975" s="19"/>
      <c r="D975" s="19"/>
      <c r="H975" s="20"/>
    </row>
    <row r="976" spans="3:8" ht="12.45">
      <c r="C976" s="19"/>
      <c r="D976" s="19"/>
      <c r="H976" s="20"/>
    </row>
    <row r="977" spans="3:8" ht="12.45">
      <c r="C977" s="19"/>
      <c r="D977" s="19"/>
      <c r="H977" s="20"/>
    </row>
    <row r="978" spans="3:8" ht="12.45">
      <c r="C978" s="19"/>
      <c r="D978" s="19"/>
      <c r="H978" s="20"/>
    </row>
    <row r="979" spans="3:8" ht="12.45">
      <c r="C979" s="19"/>
      <c r="D979" s="19"/>
      <c r="H979" s="20"/>
    </row>
    <row r="980" spans="3:8" ht="12.45">
      <c r="C980" s="19"/>
      <c r="D980" s="19"/>
      <c r="H980" s="20"/>
    </row>
    <row r="981" spans="3:8" ht="12.45">
      <c r="C981" s="19"/>
      <c r="D981" s="19"/>
      <c r="H981" s="20"/>
    </row>
    <row r="982" spans="3:8" ht="12.45">
      <c r="C982" s="19"/>
      <c r="D982" s="19"/>
      <c r="H982" s="20"/>
    </row>
    <row r="983" spans="3:8" ht="12.45">
      <c r="C983" s="19"/>
      <c r="D983" s="19"/>
      <c r="H983" s="20"/>
    </row>
    <row r="984" spans="3:8" ht="12.45">
      <c r="C984" s="19"/>
      <c r="D984" s="19"/>
      <c r="H984" s="20"/>
    </row>
    <row r="985" spans="3:8" ht="12.45">
      <c r="C985" s="19"/>
      <c r="D985" s="19"/>
      <c r="H985" s="20"/>
    </row>
    <row r="986" spans="3:8" ht="12.45">
      <c r="C986" s="19"/>
      <c r="D986" s="19"/>
      <c r="H986" s="20"/>
    </row>
    <row r="987" spans="3:8" ht="12.45">
      <c r="C987" s="19"/>
      <c r="D987" s="19"/>
      <c r="H987" s="20"/>
    </row>
    <row r="988" spans="3:8" ht="12.45">
      <c r="C988" s="19"/>
      <c r="D988" s="19"/>
      <c r="H988" s="20"/>
    </row>
    <row r="989" spans="3:8" ht="12.45">
      <c r="C989" s="19"/>
      <c r="D989" s="19"/>
      <c r="H989" s="20"/>
    </row>
    <row r="990" spans="3:8" ht="12.45">
      <c r="C990" s="19"/>
      <c r="D990" s="19"/>
      <c r="H990" s="20"/>
    </row>
    <row r="991" spans="3:8" ht="12.45">
      <c r="C991" s="19"/>
      <c r="D991" s="19"/>
      <c r="H991" s="20"/>
    </row>
    <row r="992" spans="3:8" ht="12.45">
      <c r="C992" s="19"/>
      <c r="D992" s="19"/>
      <c r="H992" s="20"/>
    </row>
    <row r="993" spans="3:8" ht="12.45">
      <c r="C993" s="19"/>
      <c r="D993" s="19"/>
      <c r="H993" s="20"/>
    </row>
    <row r="994" spans="3:8" ht="12.45">
      <c r="C994" s="19"/>
      <c r="D994" s="19"/>
      <c r="H994" s="20"/>
    </row>
    <row r="995" spans="3:8" ht="12.45">
      <c r="C995" s="19"/>
      <c r="D995" s="19"/>
      <c r="H995" s="20"/>
    </row>
    <row r="996" spans="3:8" ht="12.45">
      <c r="C996" s="19"/>
      <c r="D996" s="19"/>
      <c r="H996" s="20"/>
    </row>
    <row r="997" spans="3:8" ht="12.45">
      <c r="C997" s="19"/>
      <c r="D997" s="19"/>
      <c r="H997" s="20"/>
    </row>
    <row r="998" spans="3:8" ht="12.45">
      <c r="C998" s="19"/>
      <c r="D998" s="19"/>
      <c r="H998" s="20"/>
    </row>
    <row r="999" spans="3:8" ht="12.45">
      <c r="C999" s="19"/>
      <c r="D999" s="19"/>
      <c r="H999" s="20"/>
    </row>
    <row r="1000" spans="3:8" ht="12.45">
      <c r="C1000" s="19"/>
      <c r="D1000" s="19"/>
      <c r="H1000" s="20"/>
    </row>
    <row r="1001" spans="3:8" ht="12.45">
      <c r="C1001" s="19"/>
      <c r="D1001" s="19"/>
      <c r="H1001" s="20"/>
    </row>
    <row r="1002" spans="3:8" ht="12.45">
      <c r="C1002" s="19"/>
      <c r="D1002" s="19"/>
      <c r="H1002" s="20"/>
    </row>
    <row r="1003" spans="3:8" ht="12.45">
      <c r="C1003" s="19"/>
      <c r="D1003" s="19"/>
      <c r="H1003" s="20"/>
    </row>
    <row r="1004" spans="3:8" ht="12.45">
      <c r="C1004" s="19"/>
      <c r="D1004" s="19"/>
      <c r="H1004" s="20"/>
    </row>
    <row r="1005" spans="3:8" ht="12.45">
      <c r="C1005" s="19"/>
      <c r="D1005" s="19"/>
      <c r="H1005" s="20"/>
    </row>
    <row r="1006" spans="3:8" ht="12.45">
      <c r="C1006" s="19"/>
      <c r="D1006" s="19"/>
      <c r="H1006" s="20"/>
    </row>
    <row r="1007" spans="3:8" ht="12.45">
      <c r="C1007" s="19"/>
      <c r="D1007" s="19"/>
      <c r="H1007" s="20"/>
    </row>
    <row r="1008" spans="3:8" ht="12.45">
      <c r="C1008" s="19"/>
      <c r="D1008" s="19"/>
      <c r="H1008" s="20"/>
    </row>
    <row r="1009" spans="3:8" ht="12.45">
      <c r="C1009" s="19"/>
      <c r="D1009" s="19"/>
      <c r="H1009" s="20"/>
    </row>
    <row r="1010" spans="3:8" ht="12.45">
      <c r="C1010" s="19"/>
      <c r="D1010" s="19"/>
      <c r="H1010" s="20"/>
    </row>
    <row r="1011" spans="3:8" ht="12.45">
      <c r="C1011" s="19"/>
      <c r="D1011" s="19"/>
      <c r="H1011" s="20"/>
    </row>
    <row r="1012" spans="3:8" ht="12.45">
      <c r="C1012" s="19"/>
      <c r="D1012" s="19"/>
      <c r="H1012" s="20"/>
    </row>
    <row r="1013" spans="3:8" ht="12.45">
      <c r="C1013" s="19"/>
      <c r="D1013" s="19"/>
      <c r="H1013" s="20"/>
    </row>
    <row r="1014" spans="3:8" ht="12.45">
      <c r="C1014" s="19"/>
      <c r="D1014" s="19"/>
      <c r="H1014" s="20"/>
    </row>
    <row r="1015" spans="3:8" ht="12.45">
      <c r="C1015" s="19"/>
      <c r="D1015" s="19"/>
      <c r="H1015" s="20"/>
    </row>
    <row r="1016" spans="3:8" ht="12.45">
      <c r="C1016" s="19"/>
      <c r="D1016" s="19"/>
      <c r="H1016" s="20"/>
    </row>
    <row r="1017" spans="3:8" ht="12.45">
      <c r="C1017" s="19"/>
      <c r="D1017" s="19"/>
      <c r="H1017" s="20"/>
    </row>
    <row r="1018" spans="3:8" ht="12.45">
      <c r="C1018" s="19"/>
      <c r="D1018" s="19"/>
      <c r="H1018" s="20"/>
    </row>
    <row r="1019" spans="3:8" ht="12.45">
      <c r="C1019" s="19"/>
      <c r="D1019" s="19"/>
      <c r="H1019" s="20"/>
    </row>
    <row r="1020" spans="3:8" ht="12.45">
      <c r="C1020" s="19"/>
      <c r="D1020" s="19"/>
      <c r="H1020" s="20"/>
    </row>
    <row r="1021" spans="3:8" ht="12.45">
      <c r="C1021" s="19"/>
      <c r="D1021" s="19"/>
      <c r="H1021" s="20"/>
    </row>
    <row r="1022" spans="3:8" ht="12.45">
      <c r="C1022" s="19"/>
      <c r="D1022" s="19"/>
      <c r="H1022" s="20"/>
    </row>
    <row r="1023" spans="3:8" ht="12.45">
      <c r="C1023" s="19"/>
      <c r="D1023" s="19"/>
      <c r="H1023" s="20"/>
    </row>
    <row r="1024" spans="3:8" ht="12.45">
      <c r="C1024" s="19"/>
      <c r="D1024" s="19"/>
      <c r="H1024" s="20"/>
    </row>
    <row r="1025" spans="3:8" ht="12.45">
      <c r="C1025" s="19"/>
      <c r="D1025" s="19"/>
      <c r="H1025" s="20"/>
    </row>
    <row r="1026" spans="3:8" ht="12.45">
      <c r="C1026" s="19"/>
      <c r="D1026" s="19"/>
      <c r="H1026" s="20"/>
    </row>
    <row r="1027" spans="3:8" ht="12.45">
      <c r="C1027" s="19"/>
      <c r="D1027" s="19"/>
      <c r="H1027" s="20"/>
    </row>
    <row r="1028" spans="3:8" ht="12.45">
      <c r="C1028" s="19"/>
      <c r="D1028" s="19"/>
      <c r="H1028" s="20"/>
    </row>
    <row r="1029" spans="3:8" ht="12.45">
      <c r="C1029" s="19"/>
      <c r="D1029" s="19"/>
      <c r="H1029" s="20"/>
    </row>
    <row r="1030" spans="3:8" ht="12.45">
      <c r="C1030" s="19"/>
      <c r="D1030" s="19"/>
      <c r="H1030" s="20"/>
    </row>
    <row r="1031" spans="3:8" ht="12.45">
      <c r="C1031" s="19"/>
      <c r="D1031" s="19"/>
      <c r="H1031" s="20"/>
    </row>
    <row r="1032" spans="3:8" ht="12.45">
      <c r="C1032" s="19"/>
      <c r="D1032" s="19"/>
      <c r="H1032" s="20"/>
    </row>
    <row r="1033" spans="3:8" ht="12.45">
      <c r="C1033" s="19"/>
      <c r="D1033" s="19"/>
      <c r="H1033" s="20"/>
    </row>
    <row r="1034" spans="3:8" ht="12.45">
      <c r="C1034" s="19"/>
      <c r="D1034" s="19"/>
      <c r="H1034" s="20"/>
    </row>
    <row r="1035" spans="3:8" ht="12.45">
      <c r="C1035" s="19"/>
      <c r="D1035" s="19"/>
      <c r="H1035" s="20"/>
    </row>
    <row r="1036" spans="3:8" ht="12.45">
      <c r="C1036" s="19"/>
      <c r="D1036" s="19"/>
      <c r="H1036" s="20"/>
    </row>
    <row r="1037" spans="3:8" ht="12.45">
      <c r="C1037" s="19"/>
      <c r="D1037" s="19"/>
      <c r="H1037" s="20"/>
    </row>
    <row r="1038" spans="3:8" ht="12.45">
      <c r="C1038" s="19"/>
      <c r="D1038" s="19"/>
      <c r="H1038" s="20"/>
    </row>
    <row r="1039" spans="3:8" ht="12.45">
      <c r="C1039" s="19"/>
      <c r="D1039" s="19"/>
      <c r="H1039" s="20"/>
    </row>
    <row r="1040" spans="3:8" ht="12.45">
      <c r="C1040" s="19"/>
      <c r="D1040" s="19"/>
      <c r="H1040" s="20"/>
    </row>
    <row r="1041" spans="3:8" ht="12.45">
      <c r="C1041" s="19"/>
      <c r="D1041" s="19"/>
      <c r="H1041" s="20"/>
    </row>
    <row r="1042" spans="3:8" ht="12.45">
      <c r="C1042" s="19"/>
      <c r="D1042" s="19"/>
      <c r="H1042" s="20"/>
    </row>
    <row r="1043" spans="3:8" ht="12.45">
      <c r="C1043" s="19"/>
      <c r="D1043" s="19"/>
      <c r="H1043" s="20"/>
    </row>
    <row r="1044" spans="3:8" ht="12.45">
      <c r="C1044" s="19"/>
      <c r="D1044" s="19"/>
      <c r="H1044" s="20"/>
    </row>
    <row r="1045" spans="3:8" ht="12.45">
      <c r="C1045" s="19"/>
      <c r="D1045" s="19"/>
      <c r="H1045" s="20"/>
    </row>
    <row r="1046" spans="3:8" ht="12.45">
      <c r="C1046" s="19"/>
      <c r="D1046" s="19"/>
      <c r="H1046" s="20"/>
    </row>
    <row r="1047" spans="3:8" ht="12.45">
      <c r="C1047" s="19"/>
      <c r="D1047" s="19"/>
      <c r="H1047" s="20"/>
    </row>
    <row r="1048" spans="3:8" ht="12.45">
      <c r="C1048" s="19"/>
      <c r="D1048" s="19"/>
      <c r="H1048" s="20"/>
    </row>
    <row r="1049" spans="3:8" ht="12.45">
      <c r="C1049" s="19"/>
      <c r="D1049" s="19"/>
      <c r="H1049" s="20"/>
    </row>
    <row r="1050" spans="3:8" ht="12.45">
      <c r="C1050" s="19"/>
      <c r="D1050" s="19"/>
      <c r="H1050" s="20"/>
    </row>
    <row r="1051" spans="3:8" ht="12.45">
      <c r="C1051" s="19"/>
      <c r="D1051" s="19"/>
      <c r="H1051" s="20"/>
    </row>
    <row r="1052" spans="3:8" ht="12.45">
      <c r="C1052" s="19"/>
      <c r="D1052" s="19"/>
      <c r="H1052" s="20"/>
    </row>
    <row r="1053" spans="3:8" ht="12.45">
      <c r="C1053" s="19"/>
      <c r="D1053" s="19"/>
      <c r="H1053" s="20"/>
    </row>
    <row r="1054" spans="3:8" ht="12.45">
      <c r="C1054" s="19"/>
      <c r="D1054" s="19"/>
      <c r="H1054" s="20"/>
    </row>
    <row r="1055" spans="3:8" ht="12.45">
      <c r="C1055" s="19"/>
      <c r="D1055" s="19"/>
      <c r="H1055" s="20"/>
    </row>
    <row r="1056" spans="3:8" ht="12.45">
      <c r="C1056" s="19"/>
      <c r="D1056" s="19"/>
      <c r="H1056" s="20"/>
    </row>
    <row r="1057" spans="3:8" ht="12.45">
      <c r="C1057" s="19"/>
      <c r="D1057" s="19"/>
      <c r="H1057" s="20"/>
    </row>
    <row r="1058" spans="3:8" ht="12.45">
      <c r="C1058" s="19"/>
      <c r="D1058" s="19"/>
      <c r="H1058" s="20"/>
    </row>
    <row r="1059" spans="3:8" ht="12.45">
      <c r="C1059" s="19"/>
      <c r="D1059" s="19"/>
      <c r="H1059" s="20"/>
    </row>
    <row r="1060" spans="3:8" ht="12.45">
      <c r="C1060" s="19"/>
      <c r="D1060" s="19"/>
      <c r="H1060" s="20"/>
    </row>
    <row r="1061" spans="3:8" ht="12.45">
      <c r="C1061" s="19"/>
      <c r="D1061" s="19"/>
      <c r="H1061" s="20"/>
    </row>
    <row r="1062" spans="3:8" ht="12.45">
      <c r="C1062" s="19"/>
      <c r="D1062" s="19"/>
      <c r="H1062" s="20"/>
    </row>
    <row r="1063" spans="3:8" ht="12.45">
      <c r="C1063" s="19"/>
      <c r="D1063" s="19"/>
      <c r="H1063" s="20"/>
    </row>
    <row r="1064" spans="3:8" ht="12.45">
      <c r="C1064" s="19"/>
      <c r="D1064" s="19"/>
      <c r="H1064" s="20"/>
    </row>
    <row r="1065" spans="3:8" ht="12.45">
      <c r="C1065" s="19"/>
      <c r="D1065" s="19"/>
      <c r="H1065" s="20"/>
    </row>
    <row r="1066" spans="3:8" ht="12.45">
      <c r="C1066" s="19"/>
      <c r="D1066" s="19"/>
      <c r="H1066" s="20"/>
    </row>
    <row r="1067" spans="3:8" ht="12.45">
      <c r="C1067" s="19"/>
      <c r="D1067" s="19"/>
      <c r="H1067" s="20"/>
    </row>
    <row r="1068" spans="3:8" ht="12.45">
      <c r="C1068" s="19"/>
      <c r="D1068" s="19"/>
      <c r="H1068" s="20"/>
    </row>
    <row r="1069" spans="3:8" ht="12.45">
      <c r="C1069" s="19"/>
      <c r="D1069" s="19"/>
      <c r="H1069" s="20"/>
    </row>
    <row r="1070" spans="3:8" ht="12.45">
      <c r="C1070" s="19"/>
      <c r="D1070" s="19"/>
      <c r="H1070" s="20"/>
    </row>
    <row r="1071" spans="3:8" ht="12.45">
      <c r="C1071" s="19"/>
      <c r="D1071" s="19"/>
      <c r="H1071" s="20"/>
    </row>
    <row r="1072" spans="3:8" ht="12.45">
      <c r="C1072" s="19"/>
      <c r="D1072" s="19"/>
      <c r="H1072" s="20"/>
    </row>
    <row r="1073" spans="3:8" ht="12.45">
      <c r="C1073" s="19"/>
      <c r="D1073" s="19"/>
      <c r="H1073" s="20"/>
    </row>
    <row r="1074" spans="3:8" ht="12.45">
      <c r="C1074" s="19"/>
      <c r="D1074" s="19"/>
      <c r="H1074" s="20"/>
    </row>
    <row r="1075" spans="3:8" ht="12.45">
      <c r="C1075" s="19"/>
      <c r="D1075" s="19"/>
      <c r="H1075" s="20"/>
    </row>
    <row r="1076" spans="3:8" ht="12.45">
      <c r="C1076" s="19"/>
      <c r="D1076" s="19"/>
      <c r="H1076" s="20"/>
    </row>
    <row r="1077" spans="3:8" ht="12.45">
      <c r="C1077" s="19"/>
      <c r="D1077" s="19"/>
      <c r="H1077" s="20"/>
    </row>
    <row r="1078" spans="3:8" ht="12.45">
      <c r="C1078" s="19"/>
      <c r="D1078" s="19"/>
      <c r="H1078" s="20"/>
    </row>
    <row r="1079" spans="3:8" ht="12.45">
      <c r="C1079" s="19"/>
      <c r="D1079" s="19"/>
      <c r="H1079" s="20"/>
    </row>
    <row r="1080" spans="3:8" ht="12.45">
      <c r="C1080" s="19"/>
      <c r="D1080" s="19"/>
      <c r="H1080" s="20"/>
    </row>
    <row r="1081" spans="3:8" ht="12.45">
      <c r="C1081" s="19"/>
      <c r="D1081" s="19"/>
      <c r="H1081" s="20"/>
    </row>
    <row r="1082" spans="3:8" ht="12.45">
      <c r="C1082" s="19"/>
      <c r="D1082" s="19"/>
      <c r="H1082" s="20"/>
    </row>
    <row r="1083" spans="3:8" ht="12.45">
      <c r="C1083" s="19"/>
      <c r="D1083" s="19"/>
      <c r="H1083" s="20"/>
    </row>
    <row r="1084" spans="3:8" ht="12.45">
      <c r="C1084" s="19"/>
      <c r="D1084" s="19"/>
      <c r="H1084" s="20"/>
    </row>
    <row r="1085" spans="3:8" ht="12.45">
      <c r="C1085" s="19"/>
      <c r="D1085" s="19"/>
      <c r="H1085" s="20"/>
    </row>
    <row r="1086" spans="3:8" ht="12.45">
      <c r="C1086" s="19"/>
      <c r="D1086" s="19"/>
      <c r="H1086" s="20"/>
    </row>
    <row r="1087" spans="3:8" ht="12.45">
      <c r="C1087" s="19"/>
      <c r="D1087" s="19"/>
      <c r="H1087" s="20"/>
    </row>
    <row r="1088" spans="3:8" ht="12.45">
      <c r="C1088" s="19"/>
      <c r="D1088" s="19"/>
      <c r="H1088" s="20"/>
    </row>
    <row r="1089" spans="3:8" ht="12.45">
      <c r="C1089" s="19"/>
      <c r="D1089" s="19"/>
      <c r="H1089" s="20"/>
    </row>
    <row r="1090" spans="3:8" ht="12.45">
      <c r="C1090" s="19"/>
      <c r="D1090" s="19"/>
      <c r="H1090" s="20"/>
    </row>
    <row r="1091" spans="3:8" ht="12.45">
      <c r="C1091" s="19"/>
      <c r="D1091" s="19"/>
      <c r="H1091" s="20"/>
    </row>
    <row r="1092" spans="3:8" ht="12.45">
      <c r="C1092" s="19"/>
      <c r="D1092" s="19"/>
      <c r="H1092" s="20"/>
    </row>
    <row r="1093" spans="3:8" ht="12.45">
      <c r="C1093" s="19"/>
      <c r="D1093" s="19"/>
      <c r="H1093" s="20"/>
    </row>
    <row r="1094" spans="3:8" ht="12.45">
      <c r="C1094" s="19"/>
      <c r="D1094" s="19"/>
      <c r="H1094" s="20"/>
    </row>
    <row r="1095" spans="3:8" ht="12.45">
      <c r="C1095" s="19"/>
      <c r="D1095" s="19"/>
      <c r="H1095" s="20"/>
    </row>
    <row r="1096" spans="3:8" ht="15.75" customHeight="1">
      <c r="C1096" s="19"/>
      <c r="D1096" s="19"/>
      <c r="H1096" s="20"/>
    </row>
    <row r="1097" spans="3:8" ht="15.75" customHeight="1">
      <c r="C1097" s="19"/>
      <c r="D1097" s="19"/>
      <c r="H1097" s="20"/>
    </row>
    <row r="1098" spans="3:8" ht="15.75" customHeight="1">
      <c r="C1098" s="19"/>
      <c r="D1098" s="19"/>
      <c r="H1098" s="20"/>
    </row>
    <row r="1099" spans="3:8" ht="15.75" customHeight="1">
      <c r="C1099" s="19"/>
      <c r="D1099" s="19"/>
      <c r="H1099" s="20"/>
    </row>
    <row r="1100" spans="3:8" ht="15.75" customHeight="1">
      <c r="C1100" s="19"/>
      <c r="D1100" s="19"/>
      <c r="H1100" s="20"/>
    </row>
    <row r="1101" spans="3:8" ht="15.75" customHeight="1">
      <c r="C1101" s="19"/>
      <c r="D1101" s="19"/>
      <c r="H1101" s="20"/>
    </row>
    <row r="1102" spans="3:8" ht="15.75" customHeight="1">
      <c r="C1102" s="19"/>
      <c r="D1102" s="19"/>
      <c r="H1102" s="20"/>
    </row>
    <row r="1103" spans="3:8" ht="15.75" customHeight="1">
      <c r="C1103" s="19"/>
      <c r="D1103" s="19"/>
      <c r="H1103" s="20"/>
    </row>
    <row r="1104" spans="3:8" ht="15.75" customHeight="1">
      <c r="C1104" s="19"/>
      <c r="D1104" s="19"/>
      <c r="H1104" s="20"/>
    </row>
    <row r="1105" spans="3:8" ht="15.75" customHeight="1">
      <c r="C1105" s="19"/>
      <c r="D1105" s="19"/>
      <c r="H1105" s="20"/>
    </row>
    <row r="1106" spans="3:8" ht="15.75" customHeight="1">
      <c r="C1106" s="19"/>
      <c r="D1106" s="19"/>
      <c r="H1106" s="20"/>
    </row>
    <row r="1107" spans="3:8" ht="15.75" customHeight="1">
      <c r="C1107" s="19"/>
      <c r="D1107" s="19"/>
      <c r="H1107" s="20"/>
    </row>
    <row r="1108" spans="3:8" ht="15.75" customHeight="1">
      <c r="C1108" s="19"/>
      <c r="D1108" s="19"/>
      <c r="H1108" s="20"/>
    </row>
    <row r="1109" spans="3:8" ht="15.75" customHeight="1">
      <c r="C1109" s="19"/>
      <c r="D1109" s="19"/>
      <c r="H1109" s="20"/>
    </row>
    <row r="1110" spans="3:8" ht="15.75" customHeight="1">
      <c r="C1110" s="19"/>
      <c r="D1110" s="19"/>
      <c r="H1110" s="20"/>
    </row>
    <row r="1111" spans="3:8" ht="15.75" customHeight="1">
      <c r="C1111" s="19"/>
      <c r="D1111" s="19"/>
      <c r="H1111" s="20"/>
    </row>
    <row r="1112" spans="3:8" ht="15.75" customHeight="1">
      <c r="C1112" s="19"/>
      <c r="D1112" s="19"/>
      <c r="H1112" s="20"/>
    </row>
    <row r="1113" spans="3:8" ht="15.75" customHeight="1">
      <c r="C1113" s="19"/>
      <c r="D1113" s="19"/>
      <c r="H1113" s="20"/>
    </row>
    <row r="1114" spans="3:8" ht="15.75" customHeight="1">
      <c r="C1114" s="19"/>
      <c r="D1114" s="19"/>
      <c r="H1114" s="20"/>
    </row>
  </sheetData>
  <mergeCells count="51">
    <mergeCell ref="E1:I1"/>
    <mergeCell ref="E2:F2"/>
    <mergeCell ref="H2:I2"/>
    <mergeCell ref="E97:F97"/>
    <mergeCell ref="P97:Q97"/>
    <mergeCell ref="R97:S97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E116:F116"/>
    <mergeCell ref="H116:I116"/>
    <mergeCell ref="J97:K97"/>
    <mergeCell ref="L97:M97"/>
    <mergeCell ref="N97:O97"/>
    <mergeCell ref="E58:I58"/>
    <mergeCell ref="AD96:AG96"/>
    <mergeCell ref="AH96:AK96"/>
    <mergeCell ref="H97:I97"/>
    <mergeCell ref="E115:I115"/>
    <mergeCell ref="J96:M96"/>
    <mergeCell ref="N96:Q96"/>
    <mergeCell ref="R96:U96"/>
    <mergeCell ref="V96:Y96"/>
    <mergeCell ref="Z96:AC96"/>
    <mergeCell ref="E59:F59"/>
    <mergeCell ref="H59:I59"/>
    <mergeCell ref="E77:I77"/>
    <mergeCell ref="E78:F78"/>
    <mergeCell ref="H78:I78"/>
    <mergeCell ref="E96:I96"/>
    <mergeCell ref="E20:I20"/>
    <mergeCell ref="E21:F21"/>
    <mergeCell ref="H21:I21"/>
    <mergeCell ref="E39:I39"/>
    <mergeCell ref="E40:F40"/>
    <mergeCell ref="H40:I40"/>
    <mergeCell ref="E173:F173"/>
    <mergeCell ref="H173:I173"/>
    <mergeCell ref="E134:I134"/>
    <mergeCell ref="E135:F135"/>
    <mergeCell ref="H135:I135"/>
    <mergeCell ref="E153:I153"/>
    <mergeCell ref="E154:F154"/>
    <mergeCell ref="H154:I154"/>
    <mergeCell ref="E172:I172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I1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1328125" defaultRowHeight="15.75" customHeight="1"/>
  <cols>
    <col min="2" max="4" width="5" customWidth="1"/>
    <col min="5" max="6" width="4.15234375" customWidth="1"/>
    <col min="7" max="7" width="5" customWidth="1"/>
    <col min="8" max="11" width="4.15234375" customWidth="1"/>
    <col min="12" max="13" width="5" customWidth="1"/>
    <col min="14" max="16" width="4.15234375" customWidth="1"/>
    <col min="17" max="18" width="5" customWidth="1"/>
    <col min="19" max="21" width="4.15234375" customWidth="1"/>
    <col min="22" max="23" width="5" customWidth="1"/>
    <col min="24" max="26" width="4.15234375" customWidth="1"/>
    <col min="27" max="27" width="5" customWidth="1"/>
    <col min="28" max="31" width="3" customWidth="1"/>
    <col min="32" max="33" width="5" customWidth="1"/>
    <col min="34" max="34" width="3" customWidth="1"/>
    <col min="35" max="36" width="4.15234375" customWidth="1"/>
    <col min="37" max="38" width="5" customWidth="1"/>
    <col min="39" max="39" width="3" customWidth="1"/>
    <col min="40" max="41" width="4.15234375" customWidth="1"/>
    <col min="42" max="43" width="5" customWidth="1"/>
    <col min="44" max="44" width="3" customWidth="1"/>
    <col min="45" max="61" width="4.15234375" customWidth="1"/>
  </cols>
  <sheetData>
    <row r="3" spans="1:61" ht="15.75" customHeight="1">
      <c r="B3" s="70" t="s">
        <v>45</v>
      </c>
      <c r="C3" s="71"/>
      <c r="D3" s="71"/>
      <c r="E3" s="71"/>
      <c r="F3" s="72"/>
      <c r="G3" s="70" t="s">
        <v>46</v>
      </c>
      <c r="H3" s="71"/>
      <c r="I3" s="71"/>
      <c r="J3" s="71"/>
      <c r="K3" s="72"/>
      <c r="L3" s="70" t="s">
        <v>47</v>
      </c>
      <c r="M3" s="71"/>
      <c r="N3" s="71"/>
      <c r="O3" s="71"/>
      <c r="P3" s="72"/>
      <c r="Q3" s="70" t="s">
        <v>48</v>
      </c>
      <c r="R3" s="71"/>
      <c r="S3" s="71"/>
      <c r="T3" s="71"/>
      <c r="U3" s="72"/>
      <c r="V3" s="70" t="s">
        <v>49</v>
      </c>
      <c r="W3" s="71"/>
      <c r="X3" s="71"/>
      <c r="Y3" s="71"/>
      <c r="Z3" s="72"/>
      <c r="AA3" s="70" t="s">
        <v>50</v>
      </c>
      <c r="AB3" s="71"/>
      <c r="AC3" s="71"/>
      <c r="AD3" s="71"/>
      <c r="AE3" s="72"/>
      <c r="AF3" s="70" t="s">
        <v>51</v>
      </c>
      <c r="AG3" s="71"/>
      <c r="AH3" s="71"/>
      <c r="AI3" s="71"/>
      <c r="AJ3" s="72"/>
      <c r="AK3" s="70" t="s">
        <v>52</v>
      </c>
      <c r="AL3" s="71"/>
      <c r="AM3" s="71"/>
      <c r="AN3" s="71"/>
      <c r="AO3" s="72"/>
      <c r="AP3" s="73" t="s">
        <v>53</v>
      </c>
      <c r="AQ3" s="71"/>
      <c r="AR3" s="71"/>
      <c r="AS3" s="71"/>
      <c r="AT3" s="72"/>
      <c r="AU3" s="73" t="s">
        <v>54</v>
      </c>
      <c r="AV3" s="71"/>
      <c r="AW3" s="71"/>
      <c r="AX3" s="71"/>
      <c r="AY3" s="72"/>
      <c r="AZ3" s="73" t="s">
        <v>55</v>
      </c>
      <c r="BA3" s="71"/>
      <c r="BB3" s="71"/>
      <c r="BC3" s="71"/>
      <c r="BD3" s="72"/>
      <c r="BE3" s="73" t="s">
        <v>56</v>
      </c>
      <c r="BF3" s="71"/>
      <c r="BG3" s="71"/>
      <c r="BH3" s="71"/>
      <c r="BI3" s="72"/>
    </row>
    <row r="4" spans="1:61" ht="15.75" customHeight="1">
      <c r="B4" s="21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2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2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21" t="s">
        <v>57</v>
      </c>
      <c r="R4" s="5" t="s">
        <v>58</v>
      </c>
      <c r="S4" s="5" t="s">
        <v>59</v>
      </c>
      <c r="T4" s="5" t="s">
        <v>60</v>
      </c>
      <c r="U4" s="5" t="s">
        <v>61</v>
      </c>
      <c r="V4" s="21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21" t="s">
        <v>57</v>
      </c>
      <c r="AB4" s="5" t="s">
        <v>58</v>
      </c>
      <c r="AC4" s="5" t="s">
        <v>59</v>
      </c>
      <c r="AD4" s="5" t="s">
        <v>60</v>
      </c>
      <c r="AE4" s="5" t="s">
        <v>61</v>
      </c>
      <c r="AF4" s="21" t="s">
        <v>57</v>
      </c>
      <c r="AG4" s="5" t="s">
        <v>58</v>
      </c>
      <c r="AH4" s="5" t="s">
        <v>59</v>
      </c>
      <c r="AI4" s="5" t="s">
        <v>60</v>
      </c>
      <c r="AJ4" s="5" t="s">
        <v>61</v>
      </c>
      <c r="AK4" s="21" t="s">
        <v>57</v>
      </c>
      <c r="AL4" s="5" t="s">
        <v>58</v>
      </c>
      <c r="AM4" s="5" t="s">
        <v>59</v>
      </c>
      <c r="AN4" s="5" t="s">
        <v>60</v>
      </c>
      <c r="AO4" s="22" t="s">
        <v>61</v>
      </c>
      <c r="AP4" s="23" t="s">
        <v>57</v>
      </c>
      <c r="AQ4" s="24" t="s">
        <v>58</v>
      </c>
      <c r="AR4" s="24" t="s">
        <v>59</v>
      </c>
      <c r="AS4" s="24" t="s">
        <v>60</v>
      </c>
      <c r="AT4" s="25" t="s">
        <v>61</v>
      </c>
      <c r="AU4" s="23" t="s">
        <v>57</v>
      </c>
      <c r="AV4" s="24" t="s">
        <v>58</v>
      </c>
      <c r="AW4" s="24" t="s">
        <v>59</v>
      </c>
      <c r="AX4" s="24" t="s">
        <v>60</v>
      </c>
      <c r="AY4" s="24" t="s">
        <v>61</v>
      </c>
      <c r="AZ4" s="23" t="s">
        <v>57</v>
      </c>
      <c r="BA4" s="24" t="s">
        <v>58</v>
      </c>
      <c r="BB4" s="24" t="s">
        <v>59</v>
      </c>
      <c r="BC4" s="24" t="s">
        <v>60</v>
      </c>
      <c r="BD4" s="25" t="s">
        <v>61</v>
      </c>
      <c r="BE4" s="23" t="s">
        <v>57</v>
      </c>
      <c r="BF4" s="24" t="s">
        <v>58</v>
      </c>
      <c r="BG4" s="24" t="s">
        <v>59</v>
      </c>
      <c r="BH4" s="24" t="s">
        <v>60</v>
      </c>
      <c r="BI4" s="25" t="s">
        <v>61</v>
      </c>
    </row>
    <row r="5" spans="1:61" ht="15.75" customHeight="1">
      <c r="B5" s="26" t="s">
        <v>45</v>
      </c>
      <c r="C5" s="27" t="s">
        <v>45</v>
      </c>
      <c r="D5" s="27" t="s">
        <v>45</v>
      </c>
      <c r="E5" s="27" t="s">
        <v>45</v>
      </c>
      <c r="F5" s="27" t="s">
        <v>45</v>
      </c>
      <c r="G5" s="21" t="s">
        <v>46</v>
      </c>
      <c r="H5" s="5" t="s">
        <v>46</v>
      </c>
      <c r="I5" s="5" t="s">
        <v>46</v>
      </c>
      <c r="J5" s="5" t="s">
        <v>46</v>
      </c>
      <c r="K5" s="5" t="s">
        <v>46</v>
      </c>
      <c r="L5" s="21" t="s">
        <v>47</v>
      </c>
      <c r="M5" s="5" t="s">
        <v>47</v>
      </c>
      <c r="N5" s="5" t="s">
        <v>47</v>
      </c>
      <c r="O5" s="5" t="s">
        <v>47</v>
      </c>
      <c r="P5" s="5" t="s">
        <v>47</v>
      </c>
      <c r="Q5" s="21" t="s">
        <v>48</v>
      </c>
      <c r="R5" s="5" t="s">
        <v>48</v>
      </c>
      <c r="S5" s="5" t="s">
        <v>48</v>
      </c>
      <c r="T5" s="5" t="s">
        <v>48</v>
      </c>
      <c r="U5" s="5" t="s">
        <v>48</v>
      </c>
      <c r="V5" s="21" t="s">
        <v>49</v>
      </c>
      <c r="W5" s="5" t="s">
        <v>49</v>
      </c>
      <c r="X5" s="5" t="s">
        <v>49</v>
      </c>
      <c r="Y5" s="5" t="s">
        <v>49</v>
      </c>
      <c r="Z5" s="5" t="s">
        <v>49</v>
      </c>
      <c r="AA5" s="21" t="s">
        <v>50</v>
      </c>
      <c r="AB5" s="5" t="s">
        <v>50</v>
      </c>
      <c r="AC5" s="5" t="s">
        <v>50</v>
      </c>
      <c r="AD5" s="5" t="s">
        <v>50</v>
      </c>
      <c r="AE5" s="5" t="s">
        <v>50</v>
      </c>
      <c r="AF5" s="21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21" t="s">
        <v>52</v>
      </c>
      <c r="AL5" s="5" t="s">
        <v>52</v>
      </c>
      <c r="AM5" s="5" t="s">
        <v>52</v>
      </c>
      <c r="AN5" s="5" t="s">
        <v>52</v>
      </c>
      <c r="AO5" s="22" t="s">
        <v>52</v>
      </c>
      <c r="AP5" s="28" t="s">
        <v>53</v>
      </c>
      <c r="AQ5" s="28" t="s">
        <v>53</v>
      </c>
      <c r="AR5" s="28" t="s">
        <v>53</v>
      </c>
      <c r="AS5" s="28" t="s">
        <v>53</v>
      </c>
      <c r="AT5" s="28" t="s">
        <v>53</v>
      </c>
      <c r="AU5" s="28" t="s">
        <v>54</v>
      </c>
      <c r="AV5" s="28" t="s">
        <v>54</v>
      </c>
      <c r="AW5" s="28" t="s">
        <v>54</v>
      </c>
      <c r="AX5" s="28" t="s">
        <v>54</v>
      </c>
      <c r="AY5" s="28" t="s">
        <v>54</v>
      </c>
      <c r="AZ5" s="28" t="s">
        <v>55</v>
      </c>
      <c r="BA5" s="28" t="s">
        <v>55</v>
      </c>
      <c r="BB5" s="28" t="s">
        <v>55</v>
      </c>
      <c r="BC5" s="28" t="s">
        <v>55</v>
      </c>
      <c r="BD5" s="28" t="s">
        <v>55</v>
      </c>
      <c r="BE5" s="28" t="s">
        <v>56</v>
      </c>
      <c r="BF5" s="28" t="s">
        <v>56</v>
      </c>
      <c r="BG5" s="28" t="s">
        <v>56</v>
      </c>
      <c r="BH5" s="28" t="s">
        <v>56</v>
      </c>
      <c r="BI5" s="28" t="s">
        <v>56</v>
      </c>
    </row>
    <row r="6" spans="1:61" ht="15.75" customHeight="1">
      <c r="A6" s="3" t="s">
        <v>62</v>
      </c>
      <c r="B6" s="29">
        <v>76.959999999999994</v>
      </c>
      <c r="C6" s="3">
        <v>94.15</v>
      </c>
      <c r="D6" s="3">
        <v>0</v>
      </c>
      <c r="E6" s="3">
        <v>6.98</v>
      </c>
      <c r="F6" s="3">
        <v>6.22</v>
      </c>
      <c r="G6" s="29">
        <v>76.73</v>
      </c>
      <c r="H6" s="3">
        <v>93.8</v>
      </c>
      <c r="I6" s="3">
        <v>0</v>
      </c>
      <c r="J6" s="3">
        <v>6.57</v>
      </c>
      <c r="K6" s="3">
        <v>6.37</v>
      </c>
      <c r="L6" s="29">
        <v>78.67</v>
      </c>
      <c r="M6" s="3">
        <v>94.16</v>
      </c>
      <c r="O6" s="3">
        <v>6.5</v>
      </c>
      <c r="P6" s="3">
        <v>6.32</v>
      </c>
      <c r="Q6" s="29">
        <v>79.72</v>
      </c>
      <c r="R6" s="3">
        <v>91.53</v>
      </c>
      <c r="T6" s="3">
        <v>6.57</v>
      </c>
      <c r="U6" s="3">
        <v>6.29</v>
      </c>
      <c r="V6" s="29">
        <v>80.16</v>
      </c>
      <c r="W6" s="3">
        <v>93.79</v>
      </c>
      <c r="Y6" s="3">
        <v>7.28</v>
      </c>
      <c r="Z6" s="3">
        <v>6.45</v>
      </c>
      <c r="AA6" s="29">
        <v>73.42</v>
      </c>
      <c r="AB6" s="3">
        <v>85.71</v>
      </c>
      <c r="AD6" s="3">
        <v>7.19</v>
      </c>
      <c r="AE6" s="3">
        <v>6.27</v>
      </c>
      <c r="AF6" s="29">
        <v>86.16</v>
      </c>
      <c r="AG6" s="3">
        <v>100</v>
      </c>
      <c r="AI6" s="3">
        <v>7.34</v>
      </c>
      <c r="AJ6" s="3">
        <v>6.51</v>
      </c>
      <c r="AK6" s="29">
        <v>75.87</v>
      </c>
      <c r="AL6" s="3">
        <v>66.67</v>
      </c>
      <c r="AN6" s="3">
        <v>7.42</v>
      </c>
      <c r="AO6" s="30">
        <v>6.51</v>
      </c>
      <c r="AP6" s="31">
        <v>80.349999999999994</v>
      </c>
      <c r="AQ6" s="32">
        <v>93.11</v>
      </c>
      <c r="AR6" s="33"/>
      <c r="AS6" s="32">
        <v>7.41</v>
      </c>
      <c r="AT6" s="34">
        <v>6.49</v>
      </c>
      <c r="AU6" s="31">
        <v>84.17</v>
      </c>
      <c r="AV6" s="32">
        <v>95.04</v>
      </c>
      <c r="AW6" s="33"/>
      <c r="AX6" s="32">
        <v>7.5</v>
      </c>
      <c r="AY6" s="32">
        <v>6.76</v>
      </c>
      <c r="AZ6" s="31">
        <v>85.77</v>
      </c>
      <c r="BA6" s="35">
        <v>95.03</v>
      </c>
      <c r="BB6" s="33"/>
      <c r="BC6" s="32">
        <v>7.41</v>
      </c>
      <c r="BD6" s="34">
        <v>6.68</v>
      </c>
      <c r="BE6" s="36"/>
      <c r="BF6" s="37"/>
      <c r="BG6" s="33"/>
      <c r="BH6" s="37"/>
      <c r="BI6" s="38"/>
    </row>
    <row r="7" spans="1:61" ht="15.75" customHeight="1">
      <c r="A7" s="3" t="s">
        <v>1</v>
      </c>
      <c r="B7" s="29">
        <v>75</v>
      </c>
      <c r="C7" s="3">
        <v>100</v>
      </c>
      <c r="D7" s="3">
        <v>26</v>
      </c>
      <c r="E7" s="3">
        <v>6.83</v>
      </c>
      <c r="F7" s="3">
        <v>6.61</v>
      </c>
      <c r="G7" s="29">
        <v>87.5</v>
      </c>
      <c r="H7" s="3">
        <v>100</v>
      </c>
      <c r="I7" s="3">
        <v>28</v>
      </c>
      <c r="J7" s="3">
        <v>6.71</v>
      </c>
      <c r="K7" s="3">
        <v>6.71</v>
      </c>
      <c r="L7" s="29">
        <v>95.24</v>
      </c>
      <c r="M7" s="3">
        <v>96.97</v>
      </c>
      <c r="N7" s="3">
        <v>33</v>
      </c>
      <c r="O7" s="3">
        <v>6.14</v>
      </c>
      <c r="P7" s="3">
        <v>6.06</v>
      </c>
      <c r="Q7" s="29">
        <v>88.89</v>
      </c>
      <c r="R7" s="3">
        <v>94.29</v>
      </c>
      <c r="S7" s="3">
        <v>35</v>
      </c>
      <c r="T7" s="3">
        <v>6.17</v>
      </c>
      <c r="U7" s="3">
        <v>6</v>
      </c>
      <c r="V7" s="29">
        <v>88.64</v>
      </c>
      <c r="W7" s="3">
        <v>93.55</v>
      </c>
      <c r="X7" s="3">
        <v>31</v>
      </c>
      <c r="Y7" s="3">
        <v>6.8</v>
      </c>
      <c r="Z7" s="3">
        <v>5.99</v>
      </c>
      <c r="AA7" s="39"/>
      <c r="AB7" s="3">
        <v>95.65</v>
      </c>
      <c r="AC7" s="3">
        <v>46</v>
      </c>
      <c r="AD7" s="3">
        <v>6.7</v>
      </c>
      <c r="AE7" s="3">
        <v>5.88</v>
      </c>
      <c r="AF7" s="39"/>
      <c r="AG7" s="3">
        <v>87.5</v>
      </c>
      <c r="AH7" s="3">
        <v>56</v>
      </c>
      <c r="AI7" s="3">
        <v>7.39</v>
      </c>
      <c r="AJ7" s="3">
        <v>6.29</v>
      </c>
      <c r="AK7" s="39"/>
      <c r="AL7" s="3">
        <v>96.15</v>
      </c>
      <c r="AM7" s="3">
        <v>52</v>
      </c>
      <c r="AN7" s="3">
        <v>6.93</v>
      </c>
      <c r="AO7" s="3">
        <v>5.86</v>
      </c>
      <c r="AP7" s="36"/>
      <c r="AQ7" s="32">
        <v>86.89</v>
      </c>
      <c r="AR7" s="32">
        <v>61</v>
      </c>
      <c r="AS7" s="32">
        <v>7.2</v>
      </c>
      <c r="AT7" s="32">
        <v>6.03</v>
      </c>
      <c r="AU7" s="40">
        <v>94.34</v>
      </c>
      <c r="AV7" s="32">
        <v>90.38</v>
      </c>
      <c r="AW7" s="32">
        <v>52</v>
      </c>
      <c r="AX7" s="32">
        <v>7.22</v>
      </c>
      <c r="AY7" s="32">
        <v>6.24</v>
      </c>
      <c r="AZ7" s="40">
        <v>84.48</v>
      </c>
      <c r="BA7" s="32">
        <v>87.27</v>
      </c>
      <c r="BB7" s="32">
        <v>55</v>
      </c>
      <c r="BC7" s="32">
        <v>6.79</v>
      </c>
      <c r="BD7" s="32">
        <v>5.6</v>
      </c>
      <c r="BE7" s="36"/>
      <c r="BF7" s="37"/>
      <c r="BG7" s="37"/>
      <c r="BH7" s="37"/>
      <c r="BI7" s="37"/>
    </row>
    <row r="8" spans="1:61" ht="15.75" customHeight="1">
      <c r="A8" s="3" t="s">
        <v>63</v>
      </c>
      <c r="B8" s="29">
        <v>92.31</v>
      </c>
      <c r="C8" s="3">
        <v>100</v>
      </c>
      <c r="D8" s="3">
        <v>22</v>
      </c>
      <c r="E8" s="3">
        <v>7.32</v>
      </c>
      <c r="F8" s="3">
        <v>7.1</v>
      </c>
      <c r="G8" s="29">
        <v>84.85</v>
      </c>
      <c r="H8" s="3">
        <v>100</v>
      </c>
      <c r="I8" s="3">
        <v>20</v>
      </c>
      <c r="J8" s="3">
        <v>6.26</v>
      </c>
      <c r="K8" s="3">
        <v>6.26</v>
      </c>
      <c r="L8" s="29">
        <v>90.7</v>
      </c>
      <c r="M8" s="3">
        <v>100</v>
      </c>
      <c r="N8" s="3">
        <v>26</v>
      </c>
      <c r="O8" s="3">
        <v>6.54</v>
      </c>
      <c r="P8" s="3">
        <v>6.54</v>
      </c>
      <c r="Q8" s="29">
        <v>92.11</v>
      </c>
      <c r="R8" s="3">
        <v>100</v>
      </c>
      <c r="S8" s="3">
        <v>26</v>
      </c>
      <c r="T8" s="3">
        <v>6.61</v>
      </c>
      <c r="U8" s="3">
        <v>6.61</v>
      </c>
      <c r="V8" s="29">
        <v>94.74</v>
      </c>
      <c r="W8" s="3">
        <v>100</v>
      </c>
      <c r="X8" s="3">
        <v>26</v>
      </c>
      <c r="Y8" s="3">
        <v>6.95</v>
      </c>
      <c r="Z8" s="3">
        <v>6.79</v>
      </c>
      <c r="AA8" s="39"/>
      <c r="AB8" s="3">
        <v>92.31</v>
      </c>
      <c r="AC8" s="3">
        <v>26</v>
      </c>
      <c r="AD8" s="3">
        <v>6.9</v>
      </c>
      <c r="AE8" s="3">
        <v>6.17</v>
      </c>
      <c r="AF8" s="39"/>
      <c r="AG8" s="3">
        <v>92.86</v>
      </c>
      <c r="AH8" s="3">
        <v>42</v>
      </c>
      <c r="AI8" s="3">
        <v>6.61</v>
      </c>
      <c r="AJ8" s="3">
        <v>6.12</v>
      </c>
      <c r="AK8" s="39"/>
      <c r="AL8" s="3">
        <v>96.55</v>
      </c>
      <c r="AM8" s="3">
        <v>29</v>
      </c>
      <c r="AN8" s="3">
        <v>7.27</v>
      </c>
      <c r="AO8" s="30">
        <v>6.67</v>
      </c>
      <c r="AP8" s="36"/>
      <c r="AQ8" s="32">
        <v>88.89</v>
      </c>
      <c r="AR8" s="32">
        <v>27</v>
      </c>
      <c r="AS8" s="32">
        <v>7.58</v>
      </c>
      <c r="AT8" s="34">
        <v>6.54</v>
      </c>
      <c r="AU8" s="36"/>
      <c r="AV8" s="32">
        <v>96.15</v>
      </c>
      <c r="AW8" s="32">
        <v>26</v>
      </c>
      <c r="AX8" s="32">
        <v>7.39</v>
      </c>
      <c r="AY8" s="32">
        <v>6.59</v>
      </c>
      <c r="AZ8" s="40">
        <v>68.569999999999993</v>
      </c>
      <c r="BA8" s="32">
        <v>97.22</v>
      </c>
      <c r="BB8" s="32">
        <v>36</v>
      </c>
      <c r="BC8" s="32">
        <v>7.11</v>
      </c>
      <c r="BD8" s="34">
        <v>6.52</v>
      </c>
      <c r="BE8" s="36"/>
      <c r="BF8" s="37"/>
      <c r="BG8" s="37"/>
      <c r="BH8" s="37"/>
      <c r="BI8" s="38"/>
    </row>
    <row r="9" spans="1:61" ht="15.75" customHeight="1">
      <c r="A9" s="3" t="s">
        <v>64</v>
      </c>
      <c r="B9" s="29">
        <v>58.2</v>
      </c>
      <c r="C9" s="3">
        <v>92.31</v>
      </c>
      <c r="D9" s="3">
        <v>52</v>
      </c>
      <c r="E9" s="3">
        <v>6.83</v>
      </c>
      <c r="F9" s="3">
        <v>5.84</v>
      </c>
      <c r="G9" s="29">
        <v>66.67</v>
      </c>
      <c r="H9" s="3">
        <v>89.09</v>
      </c>
      <c r="I9" s="3">
        <v>55</v>
      </c>
      <c r="J9" s="3">
        <v>5.73</v>
      </c>
      <c r="K9" s="3">
        <v>5.49</v>
      </c>
      <c r="L9" s="29">
        <v>61.68</v>
      </c>
      <c r="M9" s="3">
        <v>92.86</v>
      </c>
      <c r="N9" s="3">
        <v>42</v>
      </c>
      <c r="O9" s="3">
        <v>6.12</v>
      </c>
      <c r="P9" s="3">
        <v>5.95</v>
      </c>
      <c r="Q9" s="29">
        <v>70</v>
      </c>
      <c r="R9" s="3">
        <v>89.58</v>
      </c>
      <c r="S9" s="3">
        <v>48</v>
      </c>
      <c r="T9" s="3">
        <v>5.87</v>
      </c>
      <c r="U9" s="3">
        <v>5.66</v>
      </c>
      <c r="V9" s="29">
        <v>66.67</v>
      </c>
      <c r="W9" s="3">
        <v>90.74</v>
      </c>
      <c r="X9" s="3">
        <v>54</v>
      </c>
      <c r="Y9" s="3">
        <v>6.81</v>
      </c>
      <c r="Z9" s="3">
        <v>6.05</v>
      </c>
      <c r="AA9" s="29">
        <v>77.59</v>
      </c>
      <c r="AB9" s="3">
        <v>86.08</v>
      </c>
      <c r="AC9" s="3">
        <v>79</v>
      </c>
      <c r="AD9" s="3">
        <v>6.98</v>
      </c>
      <c r="AE9" s="3">
        <v>5.8</v>
      </c>
      <c r="AF9" s="29">
        <v>91.67</v>
      </c>
      <c r="AG9" s="3">
        <v>78.69</v>
      </c>
      <c r="AH9" s="3">
        <v>61</v>
      </c>
      <c r="AI9" s="3">
        <v>7.18</v>
      </c>
      <c r="AJ9" s="3">
        <v>5.7</v>
      </c>
      <c r="AK9" s="29">
        <v>76.400000000000006</v>
      </c>
      <c r="AL9" s="3">
        <v>86.57</v>
      </c>
      <c r="AM9" s="3">
        <v>67</v>
      </c>
      <c r="AN9" s="3">
        <v>7.06</v>
      </c>
      <c r="AO9" s="30">
        <v>5.93</v>
      </c>
      <c r="AP9" s="31">
        <v>75.760000000000005</v>
      </c>
      <c r="AQ9" s="32">
        <v>85.71</v>
      </c>
      <c r="AR9" s="32">
        <v>42</v>
      </c>
      <c r="AS9" s="32">
        <v>6.96</v>
      </c>
      <c r="AT9" s="34">
        <v>5.74</v>
      </c>
      <c r="AU9" s="31">
        <v>84.29</v>
      </c>
      <c r="AV9" s="32">
        <v>90.74</v>
      </c>
      <c r="AW9" s="32">
        <v>54</v>
      </c>
      <c r="AX9" s="32">
        <v>7.34</v>
      </c>
      <c r="AY9" s="32">
        <v>6.25</v>
      </c>
      <c r="AZ9" s="31">
        <v>81.58</v>
      </c>
      <c r="BA9" s="32">
        <v>90</v>
      </c>
      <c r="BB9" s="32">
        <v>60</v>
      </c>
      <c r="BC9" s="32">
        <v>7.03</v>
      </c>
      <c r="BD9" s="34">
        <v>5.83</v>
      </c>
      <c r="BE9" s="36"/>
      <c r="BF9" s="37"/>
      <c r="BG9" s="37"/>
      <c r="BH9" s="37"/>
      <c r="BI9" s="38"/>
    </row>
    <row r="10" spans="1:61" ht="15.75" customHeight="1">
      <c r="A10" s="3" t="s">
        <v>65</v>
      </c>
      <c r="B10" s="29">
        <v>81.25</v>
      </c>
      <c r="C10" s="3">
        <v>100</v>
      </c>
      <c r="D10" s="3">
        <v>13</v>
      </c>
      <c r="E10" s="3">
        <v>7.77</v>
      </c>
      <c r="F10" s="3">
        <v>7.81</v>
      </c>
      <c r="G10" s="29">
        <v>95</v>
      </c>
      <c r="H10" s="3">
        <v>100</v>
      </c>
      <c r="I10" s="3">
        <v>16</v>
      </c>
      <c r="J10" s="3">
        <v>7.98</v>
      </c>
      <c r="K10" s="3">
        <v>7.98</v>
      </c>
      <c r="L10" s="29">
        <v>96</v>
      </c>
      <c r="M10" s="3">
        <v>95.83</v>
      </c>
      <c r="N10" s="3">
        <v>24</v>
      </c>
      <c r="O10" s="3">
        <v>7.98</v>
      </c>
      <c r="P10" s="3">
        <v>7.84</v>
      </c>
      <c r="Q10" s="29">
        <v>100</v>
      </c>
      <c r="R10" s="3">
        <v>100</v>
      </c>
      <c r="S10" s="3">
        <v>24</v>
      </c>
      <c r="T10" s="3">
        <v>8.31</v>
      </c>
      <c r="U10" s="3">
        <v>8.31</v>
      </c>
      <c r="V10" s="29">
        <v>100</v>
      </c>
      <c r="W10" s="3">
        <v>100</v>
      </c>
      <c r="X10" s="3">
        <v>15</v>
      </c>
      <c r="Y10" s="3">
        <v>8.18</v>
      </c>
      <c r="Z10" s="3">
        <v>8.1</v>
      </c>
      <c r="AA10" s="39"/>
      <c r="AC10" s="3">
        <v>23</v>
      </c>
      <c r="AD10" s="3">
        <v>7.62</v>
      </c>
      <c r="AE10" s="3">
        <v>7.3</v>
      </c>
      <c r="AF10" s="39"/>
      <c r="AH10" s="3">
        <v>20</v>
      </c>
      <c r="AI10" s="3">
        <v>7.95</v>
      </c>
      <c r="AJ10" s="3">
        <v>7.96</v>
      </c>
      <c r="AK10" s="39"/>
      <c r="AM10" s="3">
        <v>31</v>
      </c>
      <c r="AN10" s="3">
        <v>8.48</v>
      </c>
      <c r="AO10" s="30">
        <v>8.1199999999999992</v>
      </c>
      <c r="AP10" s="36"/>
      <c r="AQ10" s="33"/>
      <c r="AR10" s="32">
        <v>24</v>
      </c>
      <c r="AS10" s="32">
        <v>7.87</v>
      </c>
      <c r="AT10" s="34">
        <v>7.81</v>
      </c>
      <c r="AU10" s="36"/>
      <c r="AV10" s="33"/>
      <c r="AW10" s="32">
        <v>25</v>
      </c>
      <c r="AX10" s="32">
        <v>8.19</v>
      </c>
      <c r="AY10" s="32">
        <v>8.2100000000000009</v>
      </c>
      <c r="AZ10" s="36"/>
      <c r="BA10" s="33"/>
      <c r="BB10" s="32">
        <v>36</v>
      </c>
      <c r="BC10" s="32">
        <v>7.73</v>
      </c>
      <c r="BD10" s="34">
        <v>7.61</v>
      </c>
      <c r="BE10" s="36"/>
      <c r="BF10" s="33"/>
      <c r="BG10" s="37"/>
      <c r="BH10" s="37"/>
      <c r="BI10" s="38"/>
    </row>
    <row r="11" spans="1:61" ht="15.75" customHeight="1">
      <c r="A11" s="3" t="s">
        <v>66</v>
      </c>
      <c r="B11" s="41"/>
      <c r="C11" s="42"/>
      <c r="D11" s="42"/>
      <c r="E11" s="42"/>
      <c r="F11" s="42"/>
      <c r="G11" s="41"/>
      <c r="H11" s="42"/>
      <c r="I11" s="42"/>
      <c r="J11" s="42"/>
      <c r="K11" s="42"/>
      <c r="L11" s="29">
        <v>100</v>
      </c>
      <c r="M11" s="3">
        <v>100</v>
      </c>
      <c r="N11" s="3">
        <v>6</v>
      </c>
      <c r="O11" s="3">
        <v>5.92</v>
      </c>
      <c r="P11" s="3">
        <v>5.92</v>
      </c>
      <c r="Q11" s="29">
        <v>100</v>
      </c>
      <c r="R11" s="3">
        <v>100</v>
      </c>
      <c r="S11" s="3">
        <v>6</v>
      </c>
      <c r="T11" s="3">
        <v>6.01</v>
      </c>
      <c r="U11" s="3">
        <v>6.01</v>
      </c>
      <c r="V11" s="29">
        <v>91.67</v>
      </c>
      <c r="W11" s="3">
        <v>71.430000000000007</v>
      </c>
      <c r="X11" s="3">
        <v>7</v>
      </c>
      <c r="Y11" s="3">
        <v>6.75</v>
      </c>
      <c r="Z11" s="3">
        <v>6.2</v>
      </c>
      <c r="AA11" s="39"/>
      <c r="AB11" s="3">
        <v>76.92</v>
      </c>
      <c r="AC11" s="3">
        <v>13</v>
      </c>
      <c r="AD11" s="3">
        <v>6.98</v>
      </c>
      <c r="AE11" s="3">
        <v>5.45</v>
      </c>
      <c r="AF11" s="39"/>
      <c r="AG11" s="3">
        <v>94.12</v>
      </c>
      <c r="AH11" s="3">
        <v>17</v>
      </c>
      <c r="AI11" s="3">
        <v>6.81</v>
      </c>
      <c r="AJ11" s="3">
        <v>5.72</v>
      </c>
      <c r="AK11" s="39"/>
      <c r="AL11" s="3">
        <v>94.12</v>
      </c>
      <c r="AM11" s="3">
        <v>17</v>
      </c>
      <c r="AN11" s="3">
        <v>7.42</v>
      </c>
      <c r="AO11" s="30">
        <v>6.38</v>
      </c>
      <c r="AP11" s="36"/>
      <c r="AQ11" s="32">
        <v>85</v>
      </c>
      <c r="AR11" s="32">
        <v>20</v>
      </c>
      <c r="AS11" s="32">
        <v>7.64</v>
      </c>
      <c r="AT11" s="34">
        <v>6.41</v>
      </c>
      <c r="AU11" s="36"/>
      <c r="AV11" s="32">
        <v>84.62</v>
      </c>
      <c r="AW11" s="32">
        <v>13</v>
      </c>
      <c r="AX11" s="32">
        <v>7.77</v>
      </c>
      <c r="AY11" s="32">
        <v>6.77</v>
      </c>
      <c r="AZ11" s="40">
        <v>95.45</v>
      </c>
      <c r="BA11" s="32">
        <v>86.96</v>
      </c>
      <c r="BB11" s="32">
        <v>23</v>
      </c>
      <c r="BC11" s="32">
        <v>7.34</v>
      </c>
      <c r="BD11" s="34">
        <v>5.81</v>
      </c>
      <c r="BE11" s="36"/>
      <c r="BF11" s="37"/>
      <c r="BG11" s="37"/>
      <c r="BH11" s="37"/>
      <c r="BI11" s="38"/>
    </row>
    <row r="12" spans="1:61" ht="15.75" customHeight="1">
      <c r="A12" s="3" t="s">
        <v>67</v>
      </c>
      <c r="B12" s="43"/>
      <c r="C12" s="44"/>
      <c r="D12" s="44"/>
      <c r="E12" s="44"/>
      <c r="F12" s="44"/>
      <c r="G12" s="43"/>
      <c r="H12" s="44"/>
      <c r="I12" s="44"/>
      <c r="J12" s="44"/>
      <c r="K12" s="44"/>
      <c r="L12" s="43"/>
      <c r="M12" s="44"/>
      <c r="N12" s="44"/>
      <c r="O12" s="44"/>
      <c r="P12" s="44"/>
      <c r="Q12" s="43"/>
      <c r="R12" s="44"/>
      <c r="S12" s="44"/>
      <c r="T12" s="44"/>
      <c r="U12" s="44"/>
      <c r="V12" s="43"/>
      <c r="W12" s="44"/>
      <c r="X12" s="44"/>
      <c r="Y12" s="44"/>
      <c r="Z12" s="44"/>
      <c r="AA12" s="43"/>
      <c r="AB12" s="44"/>
      <c r="AC12" s="44"/>
      <c r="AD12" s="44"/>
      <c r="AE12" s="44"/>
      <c r="AF12" s="43"/>
      <c r="AG12" s="44"/>
      <c r="AH12" s="44"/>
      <c r="AI12" s="44"/>
      <c r="AJ12" s="44"/>
      <c r="AK12" s="45">
        <v>70</v>
      </c>
      <c r="AL12" s="46">
        <v>92.59</v>
      </c>
      <c r="AM12" s="46">
        <v>27</v>
      </c>
      <c r="AN12" s="46">
        <v>7.26</v>
      </c>
      <c r="AO12" s="47">
        <v>6.25</v>
      </c>
      <c r="AP12" s="48">
        <v>82.46</v>
      </c>
      <c r="AQ12" s="49">
        <v>93.55</v>
      </c>
      <c r="AR12" s="49">
        <v>31</v>
      </c>
      <c r="AS12" s="49">
        <v>7.17</v>
      </c>
      <c r="AT12" s="50">
        <v>6.22</v>
      </c>
      <c r="AU12" s="51">
        <v>70.180000000000007</v>
      </c>
      <c r="AV12" s="52">
        <v>97.06</v>
      </c>
      <c r="AW12" s="52">
        <v>34</v>
      </c>
      <c r="AX12" s="52">
        <v>7.24</v>
      </c>
      <c r="AY12" s="52">
        <v>6.49</v>
      </c>
      <c r="AZ12" s="48">
        <v>88.89</v>
      </c>
      <c r="BA12" s="49">
        <v>95</v>
      </c>
      <c r="BB12" s="49">
        <v>40</v>
      </c>
      <c r="BC12" s="49">
        <v>7.27</v>
      </c>
      <c r="BD12" s="50">
        <v>6.68</v>
      </c>
      <c r="BE12" s="53"/>
      <c r="BF12" s="54"/>
      <c r="BG12" s="54"/>
      <c r="BH12" s="54"/>
      <c r="BI12" s="55"/>
    </row>
  </sheetData>
  <mergeCells count="12">
    <mergeCell ref="AA3:AE3"/>
    <mergeCell ref="AF3:AJ3"/>
    <mergeCell ref="B3:F3"/>
    <mergeCell ref="G3:K3"/>
    <mergeCell ref="L3:P3"/>
    <mergeCell ref="Q3:U3"/>
    <mergeCell ref="V3:Z3"/>
    <mergeCell ref="AK3:AO3"/>
    <mergeCell ref="AP3:AT3"/>
    <mergeCell ref="AU3:AY3"/>
    <mergeCell ref="AZ3:BD3"/>
    <mergeCell ref="BE3:B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84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.3828125" customWidth="1"/>
    <col min="4" max="4" width="8.23046875" customWidth="1"/>
    <col min="5" max="5" width="7.3828125" customWidth="1"/>
  </cols>
  <sheetData>
    <row r="1" spans="1:5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/>
    </row>
    <row r="2" spans="1:5" ht="15.75" customHeight="1">
      <c r="A2" s="3" t="s">
        <v>10</v>
      </c>
      <c r="B2" s="56" t="str">
        <f>'Por año'!B38</f>
        <v>Titulan</v>
      </c>
      <c r="C2" s="19">
        <f>'Por año'!C38</f>
        <v>52</v>
      </c>
      <c r="D2" s="56" t="str">
        <f t="shared" ref="D2:D10" si="0">CONCATENATE(A2,"(",C2,")")</f>
        <v>24-25(52)</v>
      </c>
      <c r="E2" s="20">
        <f>'Por año'!E38</f>
        <v>0.71150000000000002</v>
      </c>
    </row>
    <row r="3" spans="1:5" ht="15.75" customHeight="1">
      <c r="A3" s="3" t="s">
        <v>28</v>
      </c>
      <c r="B3" s="56" t="str">
        <f>'Por año'!B57</f>
        <v>Titulan</v>
      </c>
      <c r="C3" s="19">
        <f>'Por año'!C57</f>
        <v>60</v>
      </c>
      <c r="D3" s="56" t="str">
        <f t="shared" si="0"/>
        <v>23-24(60)</v>
      </c>
      <c r="E3" s="20">
        <f>'Por año'!E57</f>
        <v>0.76670000000000005</v>
      </c>
    </row>
    <row r="4" spans="1:5" ht="15.75" customHeight="1">
      <c r="A4" s="3" t="s">
        <v>31</v>
      </c>
      <c r="B4" s="56" t="str">
        <f>'Por año'!B76</f>
        <v>Titulan</v>
      </c>
      <c r="C4" s="19">
        <f>'Por año'!C76</f>
        <v>54</v>
      </c>
      <c r="D4" s="56" t="str">
        <f t="shared" si="0"/>
        <v>22-23(54)</v>
      </c>
      <c r="E4" s="20">
        <f>'Por año'!E76</f>
        <v>0.79630000000000001</v>
      </c>
    </row>
    <row r="5" spans="1:5" ht="15.75" customHeight="1">
      <c r="A5" s="56" t="str">
        <f>'Por año'!A94</f>
        <v>21-22</v>
      </c>
      <c r="B5" s="56" t="str">
        <f>'Por año'!B95</f>
        <v>Titulan</v>
      </c>
      <c r="C5" s="19">
        <f>'Por año'!C95</f>
        <v>59</v>
      </c>
      <c r="D5" s="56" t="str">
        <f t="shared" si="0"/>
        <v>21-22(59)</v>
      </c>
      <c r="E5" s="20">
        <f>'Por año'!E95</f>
        <v>0.81359999999999999</v>
      </c>
    </row>
    <row r="6" spans="1:5" ht="15.75" customHeight="1">
      <c r="A6" s="56" t="str">
        <f>'Por año'!A113</f>
        <v>20-21</v>
      </c>
      <c r="B6" s="56" t="str">
        <f>'Por año'!B114</f>
        <v>Titulan</v>
      </c>
      <c r="C6" s="19">
        <f>'Por año'!C114</f>
        <v>54</v>
      </c>
      <c r="D6" s="56" t="str">
        <f t="shared" si="0"/>
        <v>20-21(54)</v>
      </c>
      <c r="E6" s="20">
        <f>'Por año'!E114</f>
        <v>0.90700000000000003</v>
      </c>
    </row>
    <row r="7" spans="1:5" ht="15.75" customHeight="1">
      <c r="A7" s="56" t="str">
        <f>'Por año'!A132</f>
        <v>19-20</v>
      </c>
      <c r="B7" s="56" t="str">
        <f>'Por año'!B133</f>
        <v>Titulan</v>
      </c>
      <c r="C7" s="19">
        <f>'Por año'!C133</f>
        <v>50</v>
      </c>
      <c r="D7" s="56" t="str">
        <f t="shared" si="0"/>
        <v>19-20(50)</v>
      </c>
      <c r="E7" s="20">
        <f>'Por año'!E133</f>
        <v>1</v>
      </c>
    </row>
    <row r="8" spans="1:5" ht="15.75" customHeight="1">
      <c r="A8" s="56" t="str">
        <f>'Por año'!A151</f>
        <v>18-19</v>
      </c>
      <c r="B8" s="56" t="str">
        <f>'Por año'!B152</f>
        <v>Titulan</v>
      </c>
      <c r="C8" s="19">
        <f>'Por año'!C152</f>
        <v>54</v>
      </c>
      <c r="D8" s="56" t="str">
        <f t="shared" si="0"/>
        <v>18-19(54)</v>
      </c>
      <c r="E8" s="20">
        <f>'Por año'!E152</f>
        <v>0.66669999999999996</v>
      </c>
    </row>
    <row r="9" spans="1:5" ht="15.75" customHeight="1">
      <c r="A9" s="56" t="str">
        <f>'Por año'!A170</f>
        <v>17-18</v>
      </c>
      <c r="B9" s="56" t="str">
        <f>'Por año'!B171</f>
        <v>Titulan</v>
      </c>
      <c r="C9" s="19">
        <f>'Por año'!C171</f>
        <v>44</v>
      </c>
      <c r="D9" s="56" t="str">
        <f t="shared" si="0"/>
        <v>17-18(44)</v>
      </c>
      <c r="E9" s="20">
        <f>'Por año'!E171</f>
        <v>0.70450000000000002</v>
      </c>
    </row>
    <row r="10" spans="1:5" ht="15.75" customHeight="1">
      <c r="A10" s="56" t="str">
        <f>'Por año'!A189</f>
        <v>16-17</v>
      </c>
      <c r="B10" s="56" t="str">
        <f>'Por año'!B190</f>
        <v>Titulan</v>
      </c>
      <c r="C10" s="19">
        <f>'Por año'!C190</f>
        <v>45</v>
      </c>
      <c r="D10" s="56" t="str">
        <f t="shared" si="0"/>
        <v>16-17(45)</v>
      </c>
      <c r="E10" s="20">
        <f>'Por año'!E190</f>
        <v>0.77780000000000005</v>
      </c>
    </row>
    <row r="11" spans="1:5" ht="15.75" customHeight="1">
      <c r="C11" s="19"/>
    </row>
    <row r="12" spans="1:5" ht="15.75" customHeight="1">
      <c r="C12" s="19"/>
    </row>
    <row r="13" spans="1:5" ht="15.75" customHeight="1">
      <c r="C13" s="19"/>
    </row>
    <row r="14" spans="1:5" ht="15.75" customHeight="1">
      <c r="C14" s="19"/>
    </row>
    <row r="15" spans="1:5" ht="15.75" customHeight="1">
      <c r="C15" s="19"/>
    </row>
    <row r="16" spans="1:5" ht="15.75" customHeight="1">
      <c r="C16" s="19"/>
    </row>
    <row r="17" spans="1:5" ht="15.75" customHeight="1">
      <c r="A17" s="56">
        <f>'Por año'!A194</f>
        <v>0</v>
      </c>
      <c r="B17" s="56">
        <f>'Por año'!B194</f>
        <v>0</v>
      </c>
      <c r="C17" s="19">
        <f>'Por año'!C194</f>
        <v>0</v>
      </c>
      <c r="E17" s="56">
        <f>'Por año'!F194</f>
        <v>0</v>
      </c>
    </row>
    <row r="18" spans="1:5" ht="15.75" customHeight="1">
      <c r="A18" s="56">
        <f>'Por año'!A195</f>
        <v>0</v>
      </c>
      <c r="B18" s="56">
        <f>'Por año'!B195</f>
        <v>0</v>
      </c>
      <c r="C18" s="19">
        <f>'Por año'!C195</f>
        <v>0</v>
      </c>
      <c r="E18" s="56">
        <f>'Por año'!F195</f>
        <v>0</v>
      </c>
    </row>
    <row r="19" spans="1:5" ht="15.75" customHeight="1">
      <c r="A19" s="56">
        <f>'Por año'!A196</f>
        <v>0</v>
      </c>
      <c r="B19" s="56">
        <f>'Por año'!B196</f>
        <v>0</v>
      </c>
      <c r="C19" s="19">
        <f>'Por año'!C196</f>
        <v>0</v>
      </c>
      <c r="E19" s="56">
        <f>'Por año'!F196</f>
        <v>0</v>
      </c>
    </row>
    <row r="20" spans="1:5" ht="15.75" customHeight="1">
      <c r="A20" s="56">
        <f>'Por año'!A197</f>
        <v>0</v>
      </c>
      <c r="B20" s="56">
        <f>'Por año'!B197</f>
        <v>0</v>
      </c>
      <c r="C20" s="19">
        <f>'Por año'!C197</f>
        <v>0</v>
      </c>
      <c r="E20" s="56">
        <f>'Por año'!F197</f>
        <v>0</v>
      </c>
    </row>
    <row r="21" spans="1:5" ht="15.75" customHeight="1">
      <c r="A21" s="56">
        <f>'Por año'!A198</f>
        <v>0</v>
      </c>
      <c r="B21" s="56">
        <f>'Por año'!B198</f>
        <v>0</v>
      </c>
      <c r="C21" s="19">
        <f>'Por año'!C198</f>
        <v>0</v>
      </c>
      <c r="E21" s="56">
        <f>'Por año'!F198</f>
        <v>0</v>
      </c>
    </row>
    <row r="22" spans="1:5" ht="15.75" customHeight="1">
      <c r="A22" s="56">
        <f>'Por año'!A199</f>
        <v>0</v>
      </c>
      <c r="B22" s="56">
        <f>'Por año'!B199</f>
        <v>0</v>
      </c>
      <c r="C22" s="19">
        <f>'Por año'!C199</f>
        <v>0</v>
      </c>
      <c r="E22" s="56">
        <f>'Por año'!F199</f>
        <v>0</v>
      </c>
    </row>
    <row r="23" spans="1:5" ht="15.75" customHeight="1">
      <c r="A23" s="56">
        <f>'Por año'!A200</f>
        <v>0</v>
      </c>
      <c r="B23" s="56">
        <f>'Por año'!B200</f>
        <v>0</v>
      </c>
      <c r="C23" s="19">
        <f>'Por año'!C200</f>
        <v>0</v>
      </c>
      <c r="E23" s="56">
        <f>'Por año'!F200</f>
        <v>0</v>
      </c>
    </row>
    <row r="24" spans="1:5" ht="15.75" customHeight="1">
      <c r="A24" s="56">
        <f>'Por año'!A201</f>
        <v>0</v>
      </c>
      <c r="B24" s="56">
        <f>'Por año'!B201</f>
        <v>0</v>
      </c>
      <c r="C24" s="19">
        <f>'Por año'!C201</f>
        <v>0</v>
      </c>
      <c r="E24" s="56">
        <f>'Por año'!F201</f>
        <v>0</v>
      </c>
    </row>
    <row r="25" spans="1:5" ht="15.75" customHeight="1">
      <c r="A25" s="56">
        <f>'Por año'!A202</f>
        <v>0</v>
      </c>
      <c r="B25" s="56">
        <f>'Por año'!B202</f>
        <v>0</v>
      </c>
      <c r="C25" s="19">
        <f>'Por año'!C202</f>
        <v>0</v>
      </c>
      <c r="E25" s="56">
        <f>'Por año'!F202</f>
        <v>0</v>
      </c>
    </row>
    <row r="26" spans="1:5" ht="15.75" customHeight="1">
      <c r="A26" s="56">
        <f>'Por año'!A203</f>
        <v>0</v>
      </c>
      <c r="B26" s="56">
        <f>'Por año'!B203</f>
        <v>0</v>
      </c>
      <c r="C26" s="19">
        <f>'Por año'!C203</f>
        <v>0</v>
      </c>
      <c r="E26" s="56">
        <f>'Por año'!F203</f>
        <v>0</v>
      </c>
    </row>
    <row r="27" spans="1:5" ht="15.75" customHeight="1">
      <c r="A27" s="56">
        <f>'Por año'!A204</f>
        <v>0</v>
      </c>
      <c r="B27" s="56">
        <f>'Por año'!B204</f>
        <v>0</v>
      </c>
      <c r="C27" s="19">
        <f>'Por año'!C204</f>
        <v>0</v>
      </c>
      <c r="E27" s="56">
        <f>'Por año'!F204</f>
        <v>0</v>
      </c>
    </row>
    <row r="28" spans="1:5" ht="15.75" customHeight="1">
      <c r="A28" s="56">
        <f>'Por año'!A205</f>
        <v>0</v>
      </c>
      <c r="B28" s="56">
        <f>'Por año'!B205</f>
        <v>0</v>
      </c>
      <c r="C28" s="19">
        <f>'Por año'!C205</f>
        <v>0</v>
      </c>
      <c r="E28" s="56">
        <f>'Por año'!F205</f>
        <v>0</v>
      </c>
    </row>
    <row r="29" spans="1:5" ht="15.75" customHeight="1">
      <c r="A29" s="56">
        <f>'Por año'!A206</f>
        <v>0</v>
      </c>
      <c r="B29" s="56">
        <f>'Por año'!B206</f>
        <v>0</v>
      </c>
      <c r="C29" s="19">
        <f>'Por año'!C206</f>
        <v>0</v>
      </c>
      <c r="E29" s="56">
        <f>'Por año'!F206</f>
        <v>0</v>
      </c>
    </row>
    <row r="30" spans="1:5" ht="15.75" customHeight="1">
      <c r="A30" s="56">
        <f>'Por año'!A207</f>
        <v>0</v>
      </c>
      <c r="B30" s="56">
        <f>'Por año'!B207</f>
        <v>0</v>
      </c>
      <c r="C30" s="19">
        <f>'Por año'!C207</f>
        <v>0</v>
      </c>
      <c r="E30" s="56">
        <f>'Por año'!F207</f>
        <v>0</v>
      </c>
    </row>
    <row r="31" spans="1:5" ht="15.75" customHeight="1">
      <c r="A31" s="56">
        <f>'Por año'!A208</f>
        <v>0</v>
      </c>
      <c r="B31" s="56">
        <f>'Por año'!B208</f>
        <v>0</v>
      </c>
      <c r="C31" s="19">
        <f>'Por año'!C208</f>
        <v>0</v>
      </c>
      <c r="E31" s="56">
        <f>'Por año'!F208</f>
        <v>0</v>
      </c>
    </row>
    <row r="32" spans="1:5" ht="15.75" customHeight="1">
      <c r="A32" s="56">
        <f>'Por año'!A209</f>
        <v>0</v>
      </c>
      <c r="B32" s="56">
        <f>'Por año'!B209</f>
        <v>0</v>
      </c>
      <c r="C32" s="19">
        <f>'Por año'!C209</f>
        <v>0</v>
      </c>
      <c r="E32" s="56">
        <f>'Por año'!F209</f>
        <v>0</v>
      </c>
    </row>
    <row r="33" spans="1:5" ht="15.75" customHeight="1">
      <c r="A33" s="56">
        <f>'Por año'!A210</f>
        <v>0</v>
      </c>
      <c r="B33" s="56">
        <f>'Por año'!B210</f>
        <v>0</v>
      </c>
      <c r="C33" s="19">
        <f>'Por año'!C210</f>
        <v>0</v>
      </c>
      <c r="E33" s="56">
        <f>'Por año'!F210</f>
        <v>0</v>
      </c>
    </row>
    <row r="34" spans="1:5" ht="15.75" customHeight="1">
      <c r="C34" s="19"/>
    </row>
    <row r="35" spans="1:5" ht="15.75" customHeight="1">
      <c r="C35" s="19"/>
    </row>
    <row r="36" spans="1:5" ht="15.75" customHeight="1">
      <c r="C36" s="19"/>
    </row>
    <row r="37" spans="1:5" ht="15.75" customHeight="1">
      <c r="C37" s="19"/>
    </row>
    <row r="38" spans="1:5" ht="15.75" customHeight="1">
      <c r="C38" s="19"/>
    </row>
    <row r="39" spans="1:5" ht="15.75" customHeight="1">
      <c r="C39" s="19"/>
    </row>
    <row r="40" spans="1:5" ht="15.75" customHeight="1">
      <c r="C40" s="19"/>
    </row>
    <row r="41" spans="1:5" ht="15.75" customHeight="1">
      <c r="C41" s="19"/>
    </row>
    <row r="42" spans="1:5" ht="15.75" customHeight="1">
      <c r="C42" s="19"/>
    </row>
    <row r="43" spans="1:5" ht="15.75" customHeight="1">
      <c r="C43" s="19"/>
    </row>
    <row r="44" spans="1:5" ht="15.75" customHeight="1">
      <c r="C44" s="19"/>
    </row>
    <row r="45" spans="1:5" ht="15.75" customHeight="1">
      <c r="C45" s="19"/>
    </row>
    <row r="46" spans="1:5" ht="12.45">
      <c r="C46" s="19"/>
    </row>
    <row r="47" spans="1:5" ht="12.45">
      <c r="C47" s="19"/>
    </row>
    <row r="48" spans="1:5" ht="12.45">
      <c r="C48" s="19"/>
    </row>
    <row r="49" spans="3:3" ht="12.45">
      <c r="C49" s="19"/>
    </row>
    <row r="50" spans="3:3" ht="12.45">
      <c r="C50" s="19"/>
    </row>
    <row r="51" spans="3:3" ht="12.45">
      <c r="C51" s="19"/>
    </row>
    <row r="52" spans="3:3" ht="12.45">
      <c r="C52" s="19"/>
    </row>
    <row r="53" spans="3:3" ht="12.45">
      <c r="C53" s="19"/>
    </row>
    <row r="54" spans="3:3" ht="12.45">
      <c r="C54" s="19"/>
    </row>
    <row r="55" spans="3:3" ht="12.45">
      <c r="C55" s="19"/>
    </row>
    <row r="56" spans="3:3" ht="12.45">
      <c r="C56" s="19"/>
    </row>
    <row r="57" spans="3:3" ht="12.45">
      <c r="C57" s="19"/>
    </row>
    <row r="58" spans="3:3" ht="12.45">
      <c r="C58" s="19"/>
    </row>
    <row r="59" spans="3:3" ht="12.45">
      <c r="C59" s="19"/>
    </row>
    <row r="60" spans="3:3" ht="12.45">
      <c r="C60" s="19"/>
    </row>
    <row r="61" spans="3:3" ht="12.45">
      <c r="C61" s="19"/>
    </row>
    <row r="62" spans="3:3" ht="12.45">
      <c r="C62" s="19"/>
    </row>
    <row r="63" spans="3:3" ht="12.45">
      <c r="C63" s="19"/>
    </row>
    <row r="64" spans="3:3" ht="12.45">
      <c r="C64" s="19"/>
    </row>
    <row r="65" spans="3:3" ht="12.45">
      <c r="C65" s="19"/>
    </row>
    <row r="66" spans="3:3" ht="12.45">
      <c r="C66" s="19"/>
    </row>
    <row r="67" spans="3:3" ht="12.45">
      <c r="C67" s="19"/>
    </row>
    <row r="68" spans="3:3" ht="12.45">
      <c r="C68" s="19"/>
    </row>
    <row r="69" spans="3:3" ht="12.45">
      <c r="C69" s="19"/>
    </row>
    <row r="70" spans="3:3" ht="12.45">
      <c r="C70" s="19"/>
    </row>
    <row r="71" spans="3:3" ht="12.45">
      <c r="C71" s="19"/>
    </row>
    <row r="72" spans="3:3" ht="12.45">
      <c r="C72" s="19"/>
    </row>
    <row r="73" spans="3:3" ht="12.45">
      <c r="C73" s="19"/>
    </row>
    <row r="74" spans="3:3" ht="12.45">
      <c r="C74" s="19"/>
    </row>
    <row r="75" spans="3:3" ht="12.45">
      <c r="C75" s="19"/>
    </row>
    <row r="76" spans="3:3" ht="12.45">
      <c r="C76" s="19"/>
    </row>
    <row r="77" spans="3:3" ht="12.45">
      <c r="C77" s="19"/>
    </row>
    <row r="78" spans="3:3" ht="12.45">
      <c r="C78" s="19"/>
    </row>
    <row r="79" spans="3:3" ht="12.45">
      <c r="C79" s="19"/>
    </row>
    <row r="80" spans="3:3" ht="12.45">
      <c r="C80" s="19"/>
    </row>
    <row r="81" spans="3:3" ht="12.45">
      <c r="C81" s="19"/>
    </row>
    <row r="82" spans="3:3" ht="12.45">
      <c r="C82" s="19"/>
    </row>
    <row r="83" spans="3:3" ht="12.45">
      <c r="C83" s="19"/>
    </row>
    <row r="84" spans="3:3" ht="12.45">
      <c r="C84" s="19"/>
    </row>
    <row r="85" spans="3:3" ht="12.45">
      <c r="C85" s="19"/>
    </row>
    <row r="86" spans="3:3" ht="12.45">
      <c r="C86" s="19"/>
    </row>
    <row r="87" spans="3:3" ht="12.45">
      <c r="C87" s="19"/>
    </row>
    <row r="88" spans="3:3" ht="12.45">
      <c r="C88" s="19"/>
    </row>
    <row r="89" spans="3:3" ht="12.45">
      <c r="C89" s="19"/>
    </row>
    <row r="90" spans="3:3" ht="12.45">
      <c r="C90" s="19"/>
    </row>
    <row r="91" spans="3:3" ht="12.45">
      <c r="C91" s="19"/>
    </row>
    <row r="92" spans="3:3" ht="12.45">
      <c r="C92" s="19"/>
    </row>
    <row r="93" spans="3:3" ht="12.45">
      <c r="C93" s="19"/>
    </row>
    <row r="94" spans="3:3" ht="12.45">
      <c r="C94" s="19"/>
    </row>
    <row r="95" spans="3:3" ht="12.45">
      <c r="C95" s="19"/>
    </row>
    <row r="96" spans="3:3" ht="12.45">
      <c r="C96" s="19"/>
    </row>
    <row r="97" spans="3:3" ht="12.45">
      <c r="C97" s="19"/>
    </row>
    <row r="98" spans="3:3" ht="12.45">
      <c r="C98" s="19"/>
    </row>
    <row r="99" spans="3:3" ht="12.45">
      <c r="C99" s="19"/>
    </row>
    <row r="100" spans="3:3" ht="12.45">
      <c r="C100" s="19"/>
    </row>
    <row r="101" spans="3:3" ht="12.45">
      <c r="C101" s="19"/>
    </row>
    <row r="102" spans="3:3" ht="12.45">
      <c r="C102" s="19"/>
    </row>
    <row r="103" spans="3:3" ht="12.45">
      <c r="C103" s="19"/>
    </row>
    <row r="104" spans="3:3" ht="12.45">
      <c r="C104" s="19"/>
    </row>
    <row r="105" spans="3:3" ht="12.45">
      <c r="C105" s="19"/>
    </row>
    <row r="106" spans="3:3" ht="12.45">
      <c r="C106" s="19"/>
    </row>
    <row r="107" spans="3:3" ht="12.45">
      <c r="C107" s="19"/>
    </row>
    <row r="108" spans="3:3" ht="12.45">
      <c r="C108" s="19"/>
    </row>
    <row r="109" spans="3:3" ht="12.45">
      <c r="C109" s="19"/>
    </row>
    <row r="110" spans="3:3" ht="12.45">
      <c r="C110" s="19"/>
    </row>
    <row r="111" spans="3:3" ht="12.45">
      <c r="C111" s="19"/>
    </row>
    <row r="112" spans="3:3" ht="12.45">
      <c r="C112" s="19"/>
    </row>
    <row r="113" spans="3:3" ht="12.45">
      <c r="C113" s="19"/>
    </row>
    <row r="114" spans="3:3" ht="12.45">
      <c r="C114" s="19"/>
    </row>
    <row r="115" spans="3:3" ht="12.45">
      <c r="C115" s="19"/>
    </row>
    <row r="116" spans="3:3" ht="12.45">
      <c r="C116" s="19"/>
    </row>
    <row r="117" spans="3:3" ht="12.45">
      <c r="C117" s="19"/>
    </row>
    <row r="118" spans="3:3" ht="12.45">
      <c r="C118" s="19"/>
    </row>
    <row r="119" spans="3:3" ht="12.45">
      <c r="C119" s="19"/>
    </row>
    <row r="120" spans="3:3" ht="12.45">
      <c r="C120" s="19"/>
    </row>
    <row r="121" spans="3:3" ht="12.45">
      <c r="C121" s="19"/>
    </row>
    <row r="122" spans="3:3" ht="12.45">
      <c r="C122" s="19"/>
    </row>
    <row r="123" spans="3:3" ht="12.45">
      <c r="C123" s="19"/>
    </row>
    <row r="124" spans="3:3" ht="12.45">
      <c r="C124" s="19"/>
    </row>
    <row r="125" spans="3:3" ht="12.45">
      <c r="C125" s="19"/>
    </row>
    <row r="126" spans="3:3" ht="12.45">
      <c r="C126" s="19"/>
    </row>
    <row r="127" spans="3:3" ht="12.45">
      <c r="C127" s="19"/>
    </row>
    <row r="128" spans="3:3" ht="12.45">
      <c r="C128" s="19"/>
    </row>
    <row r="129" spans="3:3" ht="12.45">
      <c r="C129" s="19"/>
    </row>
    <row r="130" spans="3:3" ht="12.45">
      <c r="C130" s="19"/>
    </row>
    <row r="131" spans="3:3" ht="12.45">
      <c r="C131" s="19"/>
    </row>
    <row r="132" spans="3:3" ht="12.45">
      <c r="C132" s="19"/>
    </row>
    <row r="133" spans="3:3" ht="12.45">
      <c r="C133" s="19"/>
    </row>
    <row r="134" spans="3:3" ht="12.45">
      <c r="C134" s="19"/>
    </row>
    <row r="135" spans="3:3" ht="12.45">
      <c r="C135" s="19"/>
    </row>
    <row r="136" spans="3:3" ht="12.45">
      <c r="C136" s="19"/>
    </row>
    <row r="137" spans="3:3" ht="12.45">
      <c r="C137" s="19"/>
    </row>
    <row r="138" spans="3:3" ht="12.45">
      <c r="C138" s="19"/>
    </row>
    <row r="139" spans="3:3" ht="12.45">
      <c r="C139" s="19"/>
    </row>
    <row r="140" spans="3:3" ht="12.45">
      <c r="C140" s="19"/>
    </row>
    <row r="141" spans="3:3" ht="12.45">
      <c r="C141" s="19"/>
    </row>
    <row r="142" spans="3:3" ht="12.45">
      <c r="C142" s="19"/>
    </row>
    <row r="143" spans="3:3" ht="12.45">
      <c r="C143" s="19"/>
    </row>
    <row r="144" spans="3:3" ht="12.45">
      <c r="C144" s="19"/>
    </row>
    <row r="145" spans="3:3" ht="12.45">
      <c r="C145" s="19"/>
    </row>
    <row r="146" spans="3:3" ht="12.45">
      <c r="C146" s="19"/>
    </row>
    <row r="147" spans="3:3" ht="12.45">
      <c r="C147" s="19"/>
    </row>
    <row r="148" spans="3:3" ht="12.45">
      <c r="C148" s="19"/>
    </row>
    <row r="149" spans="3:3" ht="12.45">
      <c r="C149" s="19"/>
    </row>
    <row r="150" spans="3:3" ht="12.45">
      <c r="C150" s="19"/>
    </row>
    <row r="151" spans="3:3" ht="12.45">
      <c r="C151" s="19"/>
    </row>
    <row r="152" spans="3:3" ht="12.45">
      <c r="C152" s="19"/>
    </row>
    <row r="153" spans="3:3" ht="12.45">
      <c r="C153" s="19"/>
    </row>
    <row r="154" spans="3:3" ht="12.45">
      <c r="C154" s="19"/>
    </row>
    <row r="155" spans="3:3" ht="12.45">
      <c r="C155" s="19"/>
    </row>
    <row r="156" spans="3:3" ht="12.45">
      <c r="C156" s="19"/>
    </row>
    <row r="157" spans="3:3" ht="12.45">
      <c r="C157" s="19"/>
    </row>
    <row r="158" spans="3:3" ht="12.45">
      <c r="C158" s="19"/>
    </row>
    <row r="159" spans="3:3" ht="12.45">
      <c r="C159" s="19"/>
    </row>
    <row r="160" spans="3:3" ht="12.45">
      <c r="C160" s="19"/>
    </row>
    <row r="161" spans="3:3" ht="12.45">
      <c r="C161" s="19"/>
    </row>
    <row r="162" spans="3:3" ht="12.45">
      <c r="C162" s="19"/>
    </row>
    <row r="163" spans="3:3" ht="12.45">
      <c r="C163" s="19"/>
    </row>
    <row r="164" spans="3:3" ht="12.45">
      <c r="C164" s="19"/>
    </row>
    <row r="165" spans="3:3" ht="12.45">
      <c r="C165" s="19"/>
    </row>
    <row r="166" spans="3:3" ht="12.45">
      <c r="C166" s="19"/>
    </row>
    <row r="167" spans="3:3" ht="12.45">
      <c r="C167" s="19"/>
    </row>
    <row r="168" spans="3:3" ht="12.45">
      <c r="C168" s="19"/>
    </row>
    <row r="169" spans="3:3" ht="12.45">
      <c r="C169" s="19"/>
    </row>
    <row r="170" spans="3:3" ht="12.45">
      <c r="C170" s="19"/>
    </row>
    <row r="171" spans="3:3" ht="12.45">
      <c r="C171" s="19"/>
    </row>
    <row r="172" spans="3:3" ht="12.45">
      <c r="C172" s="19"/>
    </row>
    <row r="173" spans="3:3" ht="12.45">
      <c r="C173" s="19"/>
    </row>
    <row r="174" spans="3:3" ht="12.45">
      <c r="C174" s="19"/>
    </row>
    <row r="175" spans="3:3" ht="12.45">
      <c r="C175" s="19"/>
    </row>
    <row r="176" spans="3:3" ht="12.45">
      <c r="C176" s="19"/>
    </row>
    <row r="177" spans="3:3" ht="12.45">
      <c r="C177" s="19"/>
    </row>
    <row r="178" spans="3:3" ht="12.45">
      <c r="C178" s="19"/>
    </row>
    <row r="179" spans="3:3" ht="12.45">
      <c r="C179" s="19"/>
    </row>
    <row r="180" spans="3:3" ht="12.45">
      <c r="C180" s="19"/>
    </row>
    <row r="181" spans="3:3" ht="12.45">
      <c r="C181" s="19"/>
    </row>
    <row r="182" spans="3:3" ht="12.45">
      <c r="C182" s="19"/>
    </row>
    <row r="183" spans="3:3" ht="12.45">
      <c r="C183" s="19"/>
    </row>
    <row r="184" spans="3:3" ht="12.45">
      <c r="C184" s="19"/>
    </row>
    <row r="185" spans="3:3" ht="12.45">
      <c r="C185" s="19"/>
    </row>
    <row r="186" spans="3:3" ht="12.45">
      <c r="C186" s="19"/>
    </row>
    <row r="187" spans="3:3" ht="12.45">
      <c r="C187" s="19"/>
    </row>
    <row r="188" spans="3:3" ht="12.45">
      <c r="C188" s="19"/>
    </row>
    <row r="189" spans="3:3" ht="12.45">
      <c r="C189" s="19"/>
    </row>
    <row r="190" spans="3:3" ht="12.45">
      <c r="C190" s="19"/>
    </row>
    <row r="191" spans="3:3" ht="12.45">
      <c r="C191" s="19"/>
    </row>
    <row r="192" spans="3:3" ht="12.45">
      <c r="C192" s="19"/>
    </row>
    <row r="193" spans="3:3" ht="12.45">
      <c r="C193" s="19"/>
    </row>
    <row r="194" spans="3:3" ht="12.45">
      <c r="C194" s="19"/>
    </row>
    <row r="195" spans="3:3" ht="12.45">
      <c r="C195" s="19"/>
    </row>
    <row r="196" spans="3:3" ht="12.45">
      <c r="C196" s="19"/>
    </row>
    <row r="197" spans="3:3" ht="12.45">
      <c r="C197" s="19"/>
    </row>
    <row r="198" spans="3:3" ht="12.45">
      <c r="C198" s="19"/>
    </row>
    <row r="199" spans="3:3" ht="12.45">
      <c r="C199" s="19"/>
    </row>
    <row r="200" spans="3:3" ht="12.45">
      <c r="C200" s="19"/>
    </row>
    <row r="201" spans="3:3" ht="12.45">
      <c r="C201" s="19"/>
    </row>
    <row r="202" spans="3:3" ht="12.45">
      <c r="C202" s="19"/>
    </row>
    <row r="203" spans="3:3" ht="12.45">
      <c r="C203" s="19"/>
    </row>
    <row r="204" spans="3:3" ht="12.45">
      <c r="C204" s="19"/>
    </row>
    <row r="205" spans="3:3" ht="12.45">
      <c r="C205" s="19"/>
    </row>
    <row r="206" spans="3:3" ht="12.45">
      <c r="C206" s="19"/>
    </row>
    <row r="207" spans="3:3" ht="12.45">
      <c r="C207" s="19"/>
    </row>
    <row r="208" spans="3:3" ht="12.45">
      <c r="C208" s="19"/>
    </row>
    <row r="209" spans="3:3" ht="12.45">
      <c r="C209" s="19"/>
    </row>
    <row r="210" spans="3:3" ht="12.45">
      <c r="C210" s="19"/>
    </row>
    <row r="211" spans="3:3" ht="12.45">
      <c r="C211" s="19"/>
    </row>
    <row r="212" spans="3:3" ht="12.45">
      <c r="C212" s="19"/>
    </row>
    <row r="213" spans="3:3" ht="12.45">
      <c r="C213" s="19"/>
    </row>
    <row r="214" spans="3:3" ht="12.45">
      <c r="C214" s="19"/>
    </row>
    <row r="215" spans="3:3" ht="12.45">
      <c r="C215" s="19"/>
    </row>
    <row r="216" spans="3:3" ht="12.45">
      <c r="C216" s="19"/>
    </row>
    <row r="217" spans="3:3" ht="12.45">
      <c r="C217" s="19"/>
    </row>
    <row r="218" spans="3:3" ht="12.45">
      <c r="C218" s="19"/>
    </row>
    <row r="219" spans="3:3" ht="12.45">
      <c r="C219" s="19"/>
    </row>
    <row r="220" spans="3:3" ht="12.45">
      <c r="C220" s="19"/>
    </row>
    <row r="221" spans="3:3" ht="12.45">
      <c r="C221" s="19"/>
    </row>
    <row r="222" spans="3:3" ht="12.45">
      <c r="C222" s="19"/>
    </row>
    <row r="223" spans="3:3" ht="12.45">
      <c r="C223" s="19"/>
    </row>
    <row r="224" spans="3:3" ht="12.45">
      <c r="C224" s="19"/>
    </row>
    <row r="225" spans="3:3" ht="12.45">
      <c r="C225" s="19"/>
    </row>
    <row r="226" spans="3:3" ht="12.45">
      <c r="C226" s="19"/>
    </row>
    <row r="227" spans="3:3" ht="12.45">
      <c r="C227" s="19"/>
    </row>
    <row r="228" spans="3:3" ht="12.45">
      <c r="C228" s="19"/>
    </row>
    <row r="229" spans="3:3" ht="12.45">
      <c r="C229" s="19"/>
    </row>
    <row r="230" spans="3:3" ht="12.45">
      <c r="C230" s="19"/>
    </row>
    <row r="231" spans="3:3" ht="12.45">
      <c r="C231" s="19"/>
    </row>
    <row r="232" spans="3:3" ht="12.45">
      <c r="C232" s="19"/>
    </row>
    <row r="233" spans="3:3" ht="12.45">
      <c r="C233" s="19"/>
    </row>
    <row r="234" spans="3:3" ht="12.45">
      <c r="C234" s="19"/>
    </row>
    <row r="235" spans="3:3" ht="12.45">
      <c r="C235" s="19"/>
    </row>
    <row r="236" spans="3:3" ht="12.45">
      <c r="C236" s="19"/>
    </row>
    <row r="237" spans="3:3" ht="12.45">
      <c r="C237" s="19"/>
    </row>
    <row r="238" spans="3:3" ht="12.45">
      <c r="C238" s="19"/>
    </row>
    <row r="239" spans="3:3" ht="12.45">
      <c r="C239" s="19"/>
    </row>
    <row r="240" spans="3:3" ht="12.45">
      <c r="C240" s="19"/>
    </row>
    <row r="241" spans="3:3" ht="12.45">
      <c r="C241" s="19"/>
    </row>
    <row r="242" spans="3:3" ht="12.45">
      <c r="C242" s="19"/>
    </row>
    <row r="243" spans="3:3" ht="12.45">
      <c r="C243" s="19"/>
    </row>
    <row r="244" spans="3:3" ht="12.45">
      <c r="C244" s="19"/>
    </row>
    <row r="245" spans="3:3" ht="12.45">
      <c r="C245" s="19"/>
    </row>
    <row r="246" spans="3:3" ht="12.45">
      <c r="C246" s="19"/>
    </row>
    <row r="247" spans="3:3" ht="12.45">
      <c r="C247" s="19"/>
    </row>
    <row r="248" spans="3:3" ht="12.45">
      <c r="C248" s="19"/>
    </row>
    <row r="249" spans="3:3" ht="12.45">
      <c r="C249" s="19"/>
    </row>
    <row r="250" spans="3:3" ht="12.45">
      <c r="C250" s="19"/>
    </row>
    <row r="251" spans="3:3" ht="12.45">
      <c r="C251" s="19"/>
    </row>
    <row r="252" spans="3:3" ht="12.45">
      <c r="C252" s="19"/>
    </row>
    <row r="253" spans="3:3" ht="12.45">
      <c r="C253" s="19"/>
    </row>
    <row r="254" spans="3:3" ht="12.45">
      <c r="C254" s="19"/>
    </row>
    <row r="255" spans="3:3" ht="12.45">
      <c r="C255" s="19"/>
    </row>
    <row r="256" spans="3:3" ht="12.45">
      <c r="C256" s="19"/>
    </row>
    <row r="257" spans="3:3" ht="12.45">
      <c r="C257" s="19"/>
    </row>
    <row r="258" spans="3:3" ht="12.45">
      <c r="C258" s="19"/>
    </row>
    <row r="259" spans="3:3" ht="12.45">
      <c r="C259" s="19"/>
    </row>
    <row r="260" spans="3:3" ht="12.45">
      <c r="C260" s="19"/>
    </row>
    <row r="261" spans="3:3" ht="12.45">
      <c r="C261" s="19"/>
    </row>
    <row r="262" spans="3:3" ht="12.45">
      <c r="C262" s="19"/>
    </row>
    <row r="263" spans="3:3" ht="12.45">
      <c r="C263" s="19"/>
    </row>
    <row r="264" spans="3:3" ht="12.45">
      <c r="C264" s="19"/>
    </row>
    <row r="265" spans="3:3" ht="12.45">
      <c r="C265" s="19"/>
    </row>
    <row r="266" spans="3:3" ht="12.45">
      <c r="C266" s="19"/>
    </row>
    <row r="267" spans="3:3" ht="12.45">
      <c r="C267" s="19"/>
    </row>
    <row r="268" spans="3:3" ht="12.45">
      <c r="C268" s="19"/>
    </row>
    <row r="269" spans="3:3" ht="12.45">
      <c r="C269" s="19"/>
    </row>
    <row r="270" spans="3:3" ht="12.45">
      <c r="C270" s="19"/>
    </row>
    <row r="271" spans="3:3" ht="12.45">
      <c r="C271" s="19"/>
    </row>
    <row r="272" spans="3:3" ht="12.45">
      <c r="C272" s="19"/>
    </row>
    <row r="273" spans="3:3" ht="12.45">
      <c r="C273" s="19"/>
    </row>
    <row r="274" spans="3:3" ht="12.45">
      <c r="C274" s="19"/>
    </row>
    <row r="275" spans="3:3" ht="12.45">
      <c r="C275" s="19"/>
    </row>
    <row r="276" spans="3:3" ht="12.45">
      <c r="C276" s="19"/>
    </row>
    <row r="277" spans="3:3" ht="12.45">
      <c r="C277" s="19"/>
    </row>
    <row r="278" spans="3:3" ht="12.45">
      <c r="C278" s="19"/>
    </row>
    <row r="279" spans="3:3" ht="12.45">
      <c r="C279" s="19"/>
    </row>
    <row r="280" spans="3:3" ht="12.45">
      <c r="C280" s="19"/>
    </row>
    <row r="281" spans="3:3" ht="12.45">
      <c r="C281" s="19"/>
    </row>
    <row r="282" spans="3:3" ht="12.45">
      <c r="C282" s="19"/>
    </row>
    <row r="283" spans="3:3" ht="12.45">
      <c r="C283" s="19"/>
    </row>
    <row r="284" spans="3:3" ht="12.45">
      <c r="C284" s="19"/>
    </row>
    <row r="285" spans="3:3" ht="12.45">
      <c r="C285" s="19"/>
    </row>
    <row r="286" spans="3:3" ht="12.45">
      <c r="C286" s="19"/>
    </row>
    <row r="287" spans="3:3" ht="12.45">
      <c r="C287" s="19"/>
    </row>
    <row r="288" spans="3:3" ht="12.45">
      <c r="C288" s="19"/>
    </row>
    <row r="289" spans="3:3" ht="12.45">
      <c r="C289" s="19"/>
    </row>
    <row r="290" spans="3:3" ht="12.45">
      <c r="C290" s="19"/>
    </row>
    <row r="291" spans="3:3" ht="12.45">
      <c r="C291" s="19"/>
    </row>
    <row r="292" spans="3:3" ht="12.45">
      <c r="C292" s="19"/>
    </row>
    <row r="293" spans="3:3" ht="12.45">
      <c r="C293" s="19"/>
    </row>
    <row r="294" spans="3:3" ht="12.45">
      <c r="C294" s="19"/>
    </row>
    <row r="295" spans="3:3" ht="12.45">
      <c r="C295" s="19"/>
    </row>
    <row r="296" spans="3:3" ht="12.45">
      <c r="C296" s="19"/>
    </row>
    <row r="297" spans="3:3" ht="12.45">
      <c r="C297" s="19"/>
    </row>
    <row r="298" spans="3:3" ht="12.45">
      <c r="C298" s="19"/>
    </row>
    <row r="299" spans="3:3" ht="12.45">
      <c r="C299" s="19"/>
    </row>
    <row r="300" spans="3:3" ht="12.45">
      <c r="C300" s="19"/>
    </row>
    <row r="301" spans="3:3" ht="12.45">
      <c r="C301" s="19"/>
    </row>
    <row r="302" spans="3:3" ht="12.45">
      <c r="C302" s="19"/>
    </row>
    <row r="303" spans="3:3" ht="12.45">
      <c r="C303" s="19"/>
    </row>
    <row r="304" spans="3:3" ht="12.45">
      <c r="C304" s="19"/>
    </row>
    <row r="305" spans="3:3" ht="12.45">
      <c r="C305" s="19"/>
    </row>
    <row r="306" spans="3:3" ht="12.45">
      <c r="C306" s="19"/>
    </row>
    <row r="307" spans="3:3" ht="12.45">
      <c r="C307" s="19"/>
    </row>
    <row r="308" spans="3:3" ht="12.45">
      <c r="C308" s="19"/>
    </row>
    <row r="309" spans="3:3" ht="12.45">
      <c r="C309" s="19"/>
    </row>
    <row r="310" spans="3:3" ht="12.45">
      <c r="C310" s="19"/>
    </row>
    <row r="311" spans="3:3" ht="12.45">
      <c r="C311" s="19"/>
    </row>
    <row r="312" spans="3:3" ht="12.45">
      <c r="C312" s="19"/>
    </row>
    <row r="313" spans="3:3" ht="12.45">
      <c r="C313" s="19"/>
    </row>
    <row r="314" spans="3:3" ht="12.45">
      <c r="C314" s="19"/>
    </row>
    <row r="315" spans="3:3" ht="12.45">
      <c r="C315" s="19"/>
    </row>
    <row r="316" spans="3:3" ht="12.45">
      <c r="C316" s="19"/>
    </row>
    <row r="317" spans="3:3" ht="12.45">
      <c r="C317" s="19"/>
    </row>
    <row r="318" spans="3:3" ht="12.45">
      <c r="C318" s="19"/>
    </row>
    <row r="319" spans="3:3" ht="12.45">
      <c r="C319" s="19"/>
    </row>
    <row r="320" spans="3:3" ht="12.45">
      <c r="C320" s="19"/>
    </row>
    <row r="321" spans="3:3" ht="12.45">
      <c r="C321" s="19"/>
    </row>
    <row r="322" spans="3:3" ht="12.45">
      <c r="C322" s="19"/>
    </row>
    <row r="323" spans="3:3" ht="12.45">
      <c r="C323" s="19"/>
    </row>
    <row r="324" spans="3:3" ht="12.45">
      <c r="C324" s="19"/>
    </row>
    <row r="325" spans="3:3" ht="12.45">
      <c r="C325" s="19"/>
    </row>
    <row r="326" spans="3:3" ht="12.45">
      <c r="C326" s="19"/>
    </row>
    <row r="327" spans="3:3" ht="12.45">
      <c r="C327" s="19"/>
    </row>
    <row r="328" spans="3:3" ht="12.45">
      <c r="C328" s="19"/>
    </row>
    <row r="329" spans="3:3" ht="12.45">
      <c r="C329" s="19"/>
    </row>
    <row r="330" spans="3:3" ht="12.45">
      <c r="C330" s="19"/>
    </row>
    <row r="331" spans="3:3" ht="12.45">
      <c r="C331" s="19"/>
    </row>
    <row r="332" spans="3:3" ht="12.45">
      <c r="C332" s="19"/>
    </row>
    <row r="333" spans="3:3" ht="12.45">
      <c r="C333" s="19"/>
    </row>
    <row r="334" spans="3:3" ht="12.45">
      <c r="C334" s="19"/>
    </row>
    <row r="335" spans="3:3" ht="12.45">
      <c r="C335" s="19"/>
    </row>
    <row r="336" spans="3:3" ht="12.45">
      <c r="C336" s="19"/>
    </row>
    <row r="337" spans="3:3" ht="12.45">
      <c r="C337" s="19"/>
    </row>
    <row r="338" spans="3:3" ht="12.45">
      <c r="C338" s="19"/>
    </row>
    <row r="339" spans="3:3" ht="12.45">
      <c r="C339" s="19"/>
    </row>
    <row r="340" spans="3:3" ht="12.45">
      <c r="C340" s="19"/>
    </row>
    <row r="341" spans="3:3" ht="12.45">
      <c r="C341" s="19"/>
    </row>
    <row r="342" spans="3:3" ht="12.45">
      <c r="C342" s="19"/>
    </row>
    <row r="343" spans="3:3" ht="12.45">
      <c r="C343" s="19"/>
    </row>
    <row r="344" spans="3:3" ht="12.45">
      <c r="C344" s="19"/>
    </row>
    <row r="345" spans="3:3" ht="12.45">
      <c r="C345" s="19"/>
    </row>
    <row r="346" spans="3:3" ht="12.45">
      <c r="C346" s="19"/>
    </row>
    <row r="347" spans="3:3" ht="12.45">
      <c r="C347" s="19"/>
    </row>
    <row r="348" spans="3:3" ht="12.45">
      <c r="C348" s="19"/>
    </row>
    <row r="349" spans="3:3" ht="12.45">
      <c r="C349" s="19"/>
    </row>
    <row r="350" spans="3:3" ht="12.45">
      <c r="C350" s="19"/>
    </row>
    <row r="351" spans="3:3" ht="12.45">
      <c r="C351" s="19"/>
    </row>
    <row r="352" spans="3:3" ht="12.45">
      <c r="C352" s="19"/>
    </row>
    <row r="353" spans="3:3" ht="12.45">
      <c r="C353" s="19"/>
    </row>
    <row r="354" spans="3:3" ht="12.45">
      <c r="C354" s="19"/>
    </row>
    <row r="355" spans="3:3" ht="12.45">
      <c r="C355" s="19"/>
    </row>
    <row r="356" spans="3:3" ht="12.45">
      <c r="C356" s="19"/>
    </row>
    <row r="357" spans="3:3" ht="12.45">
      <c r="C357" s="19"/>
    </row>
    <row r="358" spans="3:3" ht="12.45">
      <c r="C358" s="19"/>
    </row>
    <row r="359" spans="3:3" ht="12.45">
      <c r="C359" s="19"/>
    </row>
    <row r="360" spans="3:3" ht="12.45">
      <c r="C360" s="19"/>
    </row>
    <row r="361" spans="3:3" ht="12.45">
      <c r="C361" s="19"/>
    </row>
    <row r="362" spans="3:3" ht="12.45">
      <c r="C362" s="19"/>
    </row>
    <row r="363" spans="3:3" ht="12.45">
      <c r="C363" s="19"/>
    </row>
    <row r="364" spans="3:3" ht="12.45">
      <c r="C364" s="19"/>
    </row>
    <row r="365" spans="3:3" ht="12.45">
      <c r="C365" s="19"/>
    </row>
    <row r="366" spans="3:3" ht="12.45">
      <c r="C366" s="19"/>
    </row>
    <row r="367" spans="3:3" ht="12.45">
      <c r="C367" s="19"/>
    </row>
    <row r="368" spans="3:3" ht="12.45">
      <c r="C368" s="19"/>
    </row>
    <row r="369" spans="3:3" ht="12.45">
      <c r="C369" s="19"/>
    </row>
    <row r="370" spans="3:3" ht="12.45">
      <c r="C370" s="19"/>
    </row>
    <row r="371" spans="3:3" ht="12.45">
      <c r="C371" s="19"/>
    </row>
    <row r="372" spans="3:3" ht="12.45">
      <c r="C372" s="19"/>
    </row>
    <row r="373" spans="3:3" ht="12.45">
      <c r="C373" s="19"/>
    </row>
    <row r="374" spans="3:3" ht="12.45">
      <c r="C374" s="19"/>
    </row>
    <row r="375" spans="3:3" ht="12.45">
      <c r="C375" s="19"/>
    </row>
    <row r="376" spans="3:3" ht="12.45">
      <c r="C376" s="19"/>
    </row>
    <row r="377" spans="3:3" ht="12.45">
      <c r="C377" s="19"/>
    </row>
    <row r="378" spans="3:3" ht="12.45">
      <c r="C378" s="19"/>
    </row>
    <row r="379" spans="3:3" ht="12.45">
      <c r="C379" s="19"/>
    </row>
    <row r="380" spans="3:3" ht="12.45">
      <c r="C380" s="19"/>
    </row>
    <row r="381" spans="3:3" ht="12.45">
      <c r="C381" s="19"/>
    </row>
    <row r="382" spans="3:3" ht="12.45">
      <c r="C382" s="19"/>
    </row>
    <row r="383" spans="3:3" ht="12.45">
      <c r="C383" s="19"/>
    </row>
    <row r="384" spans="3:3" ht="12.45">
      <c r="C384" s="19"/>
    </row>
    <row r="385" spans="3:3" ht="12.45">
      <c r="C385" s="19"/>
    </row>
    <row r="386" spans="3:3" ht="12.45">
      <c r="C386" s="19"/>
    </row>
    <row r="387" spans="3:3" ht="12.45">
      <c r="C387" s="19"/>
    </row>
    <row r="388" spans="3:3" ht="12.45">
      <c r="C388" s="19"/>
    </row>
    <row r="389" spans="3:3" ht="12.45">
      <c r="C389" s="19"/>
    </row>
    <row r="390" spans="3:3" ht="12.45">
      <c r="C390" s="19"/>
    </row>
    <row r="391" spans="3:3" ht="12.45">
      <c r="C391" s="19"/>
    </row>
    <row r="392" spans="3:3" ht="12.45">
      <c r="C392" s="19"/>
    </row>
    <row r="393" spans="3:3" ht="12.45">
      <c r="C393" s="19"/>
    </row>
    <row r="394" spans="3:3" ht="12.45">
      <c r="C394" s="19"/>
    </row>
    <row r="395" spans="3:3" ht="12.45">
      <c r="C395" s="19"/>
    </row>
    <row r="396" spans="3:3" ht="12.45">
      <c r="C396" s="19"/>
    </row>
    <row r="397" spans="3:3" ht="12.45">
      <c r="C397" s="19"/>
    </row>
    <row r="398" spans="3:3" ht="12.45">
      <c r="C398" s="19"/>
    </row>
    <row r="399" spans="3:3" ht="12.45">
      <c r="C399" s="19"/>
    </row>
    <row r="400" spans="3:3" ht="12.45">
      <c r="C400" s="19"/>
    </row>
    <row r="401" spans="3:3" ht="12.45">
      <c r="C401" s="19"/>
    </row>
    <row r="402" spans="3:3" ht="12.45">
      <c r="C402" s="19"/>
    </row>
    <row r="403" spans="3:3" ht="12.45">
      <c r="C403" s="19"/>
    </row>
    <row r="404" spans="3:3" ht="12.45">
      <c r="C404" s="19"/>
    </row>
    <row r="405" spans="3:3" ht="12.45">
      <c r="C405" s="19"/>
    </row>
    <row r="406" spans="3:3" ht="12.45">
      <c r="C406" s="19"/>
    </row>
    <row r="407" spans="3:3" ht="12.45">
      <c r="C407" s="19"/>
    </row>
    <row r="408" spans="3:3" ht="12.45">
      <c r="C408" s="19"/>
    </row>
    <row r="409" spans="3:3" ht="12.45">
      <c r="C409" s="19"/>
    </row>
    <row r="410" spans="3:3" ht="12.45">
      <c r="C410" s="19"/>
    </row>
    <row r="411" spans="3:3" ht="12.45">
      <c r="C411" s="19"/>
    </row>
    <row r="412" spans="3:3" ht="12.45">
      <c r="C412" s="19"/>
    </row>
    <row r="413" spans="3:3" ht="12.45">
      <c r="C413" s="19"/>
    </row>
    <row r="414" spans="3:3" ht="12.45">
      <c r="C414" s="19"/>
    </row>
    <row r="415" spans="3:3" ht="12.45">
      <c r="C415" s="19"/>
    </row>
    <row r="416" spans="3:3" ht="12.45">
      <c r="C416" s="19"/>
    </row>
    <row r="417" spans="3:3" ht="12.45">
      <c r="C417" s="19"/>
    </row>
    <row r="418" spans="3:3" ht="12.45">
      <c r="C418" s="19"/>
    </row>
    <row r="419" spans="3:3" ht="12.45">
      <c r="C419" s="19"/>
    </row>
    <row r="420" spans="3:3" ht="12.45">
      <c r="C420" s="19"/>
    </row>
    <row r="421" spans="3:3" ht="12.45">
      <c r="C421" s="19"/>
    </row>
    <row r="422" spans="3:3" ht="12.45">
      <c r="C422" s="19"/>
    </row>
    <row r="423" spans="3:3" ht="12.45">
      <c r="C423" s="19"/>
    </row>
    <row r="424" spans="3:3" ht="12.45">
      <c r="C424" s="19"/>
    </row>
    <row r="425" spans="3:3" ht="12.45">
      <c r="C425" s="19"/>
    </row>
    <row r="426" spans="3:3" ht="12.45">
      <c r="C426" s="19"/>
    </row>
    <row r="427" spans="3:3" ht="12.45">
      <c r="C427" s="19"/>
    </row>
    <row r="428" spans="3:3" ht="12.45">
      <c r="C428" s="19"/>
    </row>
    <row r="429" spans="3:3" ht="12.45">
      <c r="C429" s="19"/>
    </row>
    <row r="430" spans="3:3" ht="12.45">
      <c r="C430" s="19"/>
    </row>
    <row r="431" spans="3:3" ht="12.45">
      <c r="C431" s="19"/>
    </row>
    <row r="432" spans="3:3" ht="12.45">
      <c r="C432" s="19"/>
    </row>
    <row r="433" spans="3:3" ht="12.45">
      <c r="C433" s="19"/>
    </row>
    <row r="434" spans="3:3" ht="12.45">
      <c r="C434" s="19"/>
    </row>
    <row r="435" spans="3:3" ht="12.45">
      <c r="C435" s="19"/>
    </row>
    <row r="436" spans="3:3" ht="12.45">
      <c r="C436" s="19"/>
    </row>
    <row r="437" spans="3:3" ht="12.45">
      <c r="C437" s="19"/>
    </row>
    <row r="438" spans="3:3" ht="12.45">
      <c r="C438" s="19"/>
    </row>
    <row r="439" spans="3:3" ht="12.45">
      <c r="C439" s="19"/>
    </row>
    <row r="440" spans="3:3" ht="12.45">
      <c r="C440" s="19"/>
    </row>
    <row r="441" spans="3:3" ht="12.45">
      <c r="C441" s="19"/>
    </row>
    <row r="442" spans="3:3" ht="12.45">
      <c r="C442" s="19"/>
    </row>
    <row r="443" spans="3:3" ht="12.45">
      <c r="C443" s="19"/>
    </row>
    <row r="444" spans="3:3" ht="12.45">
      <c r="C444" s="19"/>
    </row>
    <row r="445" spans="3:3" ht="12.45">
      <c r="C445" s="19"/>
    </row>
    <row r="446" spans="3:3" ht="12.45">
      <c r="C446" s="19"/>
    </row>
    <row r="447" spans="3:3" ht="12.45">
      <c r="C447" s="19"/>
    </row>
    <row r="448" spans="3:3" ht="12.45">
      <c r="C448" s="19"/>
    </row>
    <row r="449" spans="3:3" ht="12.45">
      <c r="C449" s="19"/>
    </row>
    <row r="450" spans="3:3" ht="12.45">
      <c r="C450" s="19"/>
    </row>
    <row r="451" spans="3:3" ht="12.45">
      <c r="C451" s="19"/>
    </row>
    <row r="452" spans="3:3" ht="12.45">
      <c r="C452" s="19"/>
    </row>
    <row r="453" spans="3:3" ht="12.45">
      <c r="C453" s="19"/>
    </row>
    <row r="454" spans="3:3" ht="12.45">
      <c r="C454" s="19"/>
    </row>
    <row r="455" spans="3:3" ht="12.45">
      <c r="C455" s="19"/>
    </row>
    <row r="456" spans="3:3" ht="12.45">
      <c r="C456" s="19"/>
    </row>
    <row r="457" spans="3:3" ht="12.45">
      <c r="C457" s="19"/>
    </row>
    <row r="458" spans="3:3" ht="12.45">
      <c r="C458" s="19"/>
    </row>
    <row r="459" spans="3:3" ht="12.45">
      <c r="C459" s="19"/>
    </row>
    <row r="460" spans="3:3" ht="12.45">
      <c r="C460" s="19"/>
    </row>
    <row r="461" spans="3:3" ht="12.45">
      <c r="C461" s="19"/>
    </row>
    <row r="462" spans="3:3" ht="12.45">
      <c r="C462" s="19"/>
    </row>
    <row r="463" spans="3:3" ht="12.45">
      <c r="C463" s="19"/>
    </row>
    <row r="464" spans="3:3" ht="12.45">
      <c r="C464" s="19"/>
    </row>
    <row r="465" spans="3:3" ht="12.45">
      <c r="C465" s="19"/>
    </row>
    <row r="466" spans="3:3" ht="12.45">
      <c r="C466" s="19"/>
    </row>
    <row r="467" spans="3:3" ht="12.45">
      <c r="C467" s="19"/>
    </row>
    <row r="468" spans="3:3" ht="12.45">
      <c r="C468" s="19"/>
    </row>
    <row r="469" spans="3:3" ht="12.45">
      <c r="C469" s="19"/>
    </row>
    <row r="470" spans="3:3" ht="12.45">
      <c r="C470" s="19"/>
    </row>
    <row r="471" spans="3:3" ht="12.45">
      <c r="C471" s="19"/>
    </row>
    <row r="472" spans="3:3" ht="12.45">
      <c r="C472" s="19"/>
    </row>
    <row r="473" spans="3:3" ht="12.45">
      <c r="C473" s="19"/>
    </row>
    <row r="474" spans="3:3" ht="12.45">
      <c r="C474" s="19"/>
    </row>
    <row r="475" spans="3:3" ht="12.45">
      <c r="C475" s="19"/>
    </row>
    <row r="476" spans="3:3" ht="12.45">
      <c r="C476" s="19"/>
    </row>
    <row r="477" spans="3:3" ht="12.45">
      <c r="C477" s="19"/>
    </row>
    <row r="478" spans="3:3" ht="12.45">
      <c r="C478" s="19"/>
    </row>
    <row r="479" spans="3:3" ht="12.45">
      <c r="C479" s="19"/>
    </row>
    <row r="480" spans="3:3" ht="12.45">
      <c r="C480" s="19"/>
    </row>
    <row r="481" spans="3:3" ht="12.45">
      <c r="C481" s="19"/>
    </row>
    <row r="482" spans="3:3" ht="12.45">
      <c r="C482" s="19"/>
    </row>
    <row r="483" spans="3:3" ht="12.45">
      <c r="C483" s="19"/>
    </row>
    <row r="484" spans="3:3" ht="12.45">
      <c r="C484" s="19"/>
    </row>
    <row r="485" spans="3:3" ht="12.45">
      <c r="C485" s="19"/>
    </row>
    <row r="486" spans="3:3" ht="12.45">
      <c r="C486" s="19"/>
    </row>
    <row r="487" spans="3:3" ht="12.45">
      <c r="C487" s="19"/>
    </row>
    <row r="488" spans="3:3" ht="12.45">
      <c r="C488" s="19"/>
    </row>
    <row r="489" spans="3:3" ht="12.45">
      <c r="C489" s="19"/>
    </row>
    <row r="490" spans="3:3" ht="12.45">
      <c r="C490" s="19"/>
    </row>
    <row r="491" spans="3:3" ht="12.45">
      <c r="C491" s="19"/>
    </row>
    <row r="492" spans="3:3" ht="12.45">
      <c r="C492" s="19"/>
    </row>
    <row r="493" spans="3:3" ht="12.45">
      <c r="C493" s="19"/>
    </row>
    <row r="494" spans="3:3" ht="12.45">
      <c r="C494" s="19"/>
    </row>
    <row r="495" spans="3:3" ht="12.45">
      <c r="C495" s="19"/>
    </row>
    <row r="496" spans="3:3" ht="12.45">
      <c r="C496" s="19"/>
    </row>
    <row r="497" spans="3:3" ht="12.45">
      <c r="C497" s="19"/>
    </row>
    <row r="498" spans="3:3" ht="12.45">
      <c r="C498" s="19"/>
    </row>
    <row r="499" spans="3:3" ht="12.45">
      <c r="C499" s="19"/>
    </row>
    <row r="500" spans="3:3" ht="12.45">
      <c r="C500" s="19"/>
    </row>
    <row r="501" spans="3:3" ht="12.45">
      <c r="C501" s="19"/>
    </row>
    <row r="502" spans="3:3" ht="12.45">
      <c r="C502" s="19"/>
    </row>
    <row r="503" spans="3:3" ht="12.45">
      <c r="C503" s="19"/>
    </row>
    <row r="504" spans="3:3" ht="12.45">
      <c r="C504" s="19"/>
    </row>
    <row r="505" spans="3:3" ht="12.45">
      <c r="C505" s="19"/>
    </row>
    <row r="506" spans="3:3" ht="12.45">
      <c r="C506" s="19"/>
    </row>
    <row r="507" spans="3:3" ht="12.45">
      <c r="C507" s="19"/>
    </row>
    <row r="508" spans="3:3" ht="12.45">
      <c r="C508" s="19"/>
    </row>
    <row r="509" spans="3:3" ht="12.45">
      <c r="C509" s="19"/>
    </row>
    <row r="510" spans="3:3" ht="12.45">
      <c r="C510" s="19"/>
    </row>
    <row r="511" spans="3:3" ht="12.45">
      <c r="C511" s="19"/>
    </row>
    <row r="512" spans="3:3" ht="12.45">
      <c r="C512" s="19"/>
    </row>
    <row r="513" spans="3:3" ht="12.45">
      <c r="C513" s="19"/>
    </row>
    <row r="514" spans="3:3" ht="12.45">
      <c r="C514" s="19"/>
    </row>
    <row r="515" spans="3:3" ht="12.45">
      <c r="C515" s="19"/>
    </row>
    <row r="516" spans="3:3" ht="12.45">
      <c r="C516" s="19"/>
    </row>
    <row r="517" spans="3:3" ht="12.45">
      <c r="C517" s="19"/>
    </row>
    <row r="518" spans="3:3" ht="12.45">
      <c r="C518" s="19"/>
    </row>
    <row r="519" spans="3:3" ht="12.45">
      <c r="C519" s="19"/>
    </row>
    <row r="520" spans="3:3" ht="12.45">
      <c r="C520" s="19"/>
    </row>
    <row r="521" spans="3:3" ht="12.45">
      <c r="C521" s="19"/>
    </row>
    <row r="522" spans="3:3" ht="12.45">
      <c r="C522" s="19"/>
    </row>
    <row r="523" spans="3:3" ht="12.45">
      <c r="C523" s="19"/>
    </row>
    <row r="524" spans="3:3" ht="12.45">
      <c r="C524" s="19"/>
    </row>
    <row r="525" spans="3:3" ht="12.45">
      <c r="C525" s="19"/>
    </row>
    <row r="526" spans="3:3" ht="12.45">
      <c r="C526" s="19"/>
    </row>
    <row r="527" spans="3:3" ht="12.45">
      <c r="C527" s="19"/>
    </row>
    <row r="528" spans="3:3" ht="12.45">
      <c r="C528" s="19"/>
    </row>
    <row r="529" spans="3:3" ht="12.45">
      <c r="C529" s="19"/>
    </row>
    <row r="530" spans="3:3" ht="12.45">
      <c r="C530" s="19"/>
    </row>
    <row r="531" spans="3:3" ht="12.45">
      <c r="C531" s="19"/>
    </row>
    <row r="532" spans="3:3" ht="12.45">
      <c r="C532" s="19"/>
    </row>
    <row r="533" spans="3:3" ht="12.45">
      <c r="C533" s="19"/>
    </row>
    <row r="534" spans="3:3" ht="12.45">
      <c r="C534" s="19"/>
    </row>
    <row r="535" spans="3:3" ht="12.45">
      <c r="C535" s="19"/>
    </row>
    <row r="536" spans="3:3" ht="12.45">
      <c r="C536" s="19"/>
    </row>
    <row r="537" spans="3:3" ht="12.45">
      <c r="C537" s="19"/>
    </row>
    <row r="538" spans="3:3" ht="12.45">
      <c r="C538" s="19"/>
    </row>
    <row r="539" spans="3:3" ht="12.45">
      <c r="C539" s="19"/>
    </row>
    <row r="540" spans="3:3" ht="12.45">
      <c r="C540" s="19"/>
    </row>
    <row r="541" spans="3:3" ht="12.45">
      <c r="C541" s="19"/>
    </row>
    <row r="542" spans="3:3" ht="12.45">
      <c r="C542" s="19"/>
    </row>
    <row r="543" spans="3:3" ht="12.45">
      <c r="C543" s="19"/>
    </row>
    <row r="544" spans="3:3" ht="12.45">
      <c r="C544" s="19"/>
    </row>
    <row r="545" spans="3:3" ht="12.45">
      <c r="C545" s="19"/>
    </row>
    <row r="546" spans="3:3" ht="12.45">
      <c r="C546" s="19"/>
    </row>
    <row r="547" spans="3:3" ht="12.45">
      <c r="C547" s="19"/>
    </row>
    <row r="548" spans="3:3" ht="12.45">
      <c r="C548" s="19"/>
    </row>
    <row r="549" spans="3:3" ht="12.45">
      <c r="C549" s="19"/>
    </row>
    <row r="550" spans="3:3" ht="12.45">
      <c r="C550" s="19"/>
    </row>
    <row r="551" spans="3:3" ht="12.45">
      <c r="C551" s="19"/>
    </row>
    <row r="552" spans="3:3" ht="12.45">
      <c r="C552" s="19"/>
    </row>
    <row r="553" spans="3:3" ht="12.45">
      <c r="C553" s="19"/>
    </row>
    <row r="554" spans="3:3" ht="12.45">
      <c r="C554" s="19"/>
    </row>
    <row r="555" spans="3:3" ht="12.45">
      <c r="C555" s="19"/>
    </row>
    <row r="556" spans="3:3" ht="12.45">
      <c r="C556" s="19"/>
    </row>
    <row r="557" spans="3:3" ht="12.45">
      <c r="C557" s="19"/>
    </row>
    <row r="558" spans="3:3" ht="12.45">
      <c r="C558" s="19"/>
    </row>
    <row r="559" spans="3:3" ht="12.45">
      <c r="C559" s="19"/>
    </row>
    <row r="560" spans="3:3" ht="12.45">
      <c r="C560" s="19"/>
    </row>
    <row r="561" spans="3:3" ht="12.45">
      <c r="C561" s="19"/>
    </row>
    <row r="562" spans="3:3" ht="12.45">
      <c r="C562" s="19"/>
    </row>
    <row r="563" spans="3:3" ht="12.45">
      <c r="C563" s="19"/>
    </row>
    <row r="564" spans="3:3" ht="12.45">
      <c r="C564" s="19"/>
    </row>
    <row r="565" spans="3:3" ht="12.45">
      <c r="C565" s="19"/>
    </row>
    <row r="566" spans="3:3" ht="12.45">
      <c r="C566" s="19"/>
    </row>
    <row r="567" spans="3:3" ht="12.45">
      <c r="C567" s="19"/>
    </row>
    <row r="568" spans="3:3" ht="12.45">
      <c r="C568" s="19"/>
    </row>
    <row r="569" spans="3:3" ht="12.45">
      <c r="C569" s="19"/>
    </row>
    <row r="570" spans="3:3" ht="12.45">
      <c r="C570" s="19"/>
    </row>
    <row r="571" spans="3:3" ht="12.45">
      <c r="C571" s="19"/>
    </row>
    <row r="572" spans="3:3" ht="12.45">
      <c r="C572" s="19"/>
    </row>
    <row r="573" spans="3:3" ht="12.45">
      <c r="C573" s="19"/>
    </row>
    <row r="574" spans="3:3" ht="12.45">
      <c r="C574" s="19"/>
    </row>
    <row r="575" spans="3:3" ht="12.45">
      <c r="C575" s="19"/>
    </row>
    <row r="576" spans="3:3" ht="12.45">
      <c r="C576" s="19"/>
    </row>
    <row r="577" spans="3:3" ht="12.45">
      <c r="C577" s="19"/>
    </row>
    <row r="578" spans="3:3" ht="12.45">
      <c r="C578" s="19"/>
    </row>
    <row r="579" spans="3:3" ht="12.45">
      <c r="C579" s="19"/>
    </row>
    <row r="580" spans="3:3" ht="12.45">
      <c r="C580" s="19"/>
    </row>
    <row r="581" spans="3:3" ht="12.45">
      <c r="C581" s="19"/>
    </row>
    <row r="582" spans="3:3" ht="12.45">
      <c r="C582" s="19"/>
    </row>
    <row r="583" spans="3:3" ht="12.45">
      <c r="C583" s="19"/>
    </row>
    <row r="584" spans="3:3" ht="12.45">
      <c r="C584" s="19"/>
    </row>
    <row r="585" spans="3:3" ht="12.45">
      <c r="C585" s="19"/>
    </row>
    <row r="586" spans="3:3" ht="12.45">
      <c r="C586" s="19"/>
    </row>
    <row r="587" spans="3:3" ht="12.45">
      <c r="C587" s="19"/>
    </row>
    <row r="588" spans="3:3" ht="12.45">
      <c r="C588" s="19"/>
    </row>
    <row r="589" spans="3:3" ht="12.45">
      <c r="C589" s="19"/>
    </row>
    <row r="590" spans="3:3" ht="12.45">
      <c r="C590" s="19"/>
    </row>
    <row r="591" spans="3:3" ht="12.45">
      <c r="C591" s="19"/>
    </row>
    <row r="592" spans="3:3" ht="12.45">
      <c r="C592" s="19"/>
    </row>
    <row r="593" spans="3:3" ht="12.45">
      <c r="C593" s="19"/>
    </row>
    <row r="594" spans="3:3" ht="12.45">
      <c r="C594" s="19"/>
    </row>
    <row r="595" spans="3:3" ht="12.45">
      <c r="C595" s="19"/>
    </row>
    <row r="596" spans="3:3" ht="12.45">
      <c r="C596" s="19"/>
    </row>
    <row r="597" spans="3:3" ht="12.45">
      <c r="C597" s="19"/>
    </row>
    <row r="598" spans="3:3" ht="12.45">
      <c r="C598" s="19"/>
    </row>
    <row r="599" spans="3:3" ht="12.45">
      <c r="C599" s="19"/>
    </row>
    <row r="600" spans="3:3" ht="12.45">
      <c r="C600" s="19"/>
    </row>
    <row r="601" spans="3:3" ht="12.45">
      <c r="C601" s="19"/>
    </row>
    <row r="602" spans="3:3" ht="12.45">
      <c r="C602" s="19"/>
    </row>
    <row r="603" spans="3:3" ht="12.45">
      <c r="C603" s="19"/>
    </row>
    <row r="604" spans="3:3" ht="12.45">
      <c r="C604" s="19"/>
    </row>
    <row r="605" spans="3:3" ht="12.45">
      <c r="C605" s="19"/>
    </row>
    <row r="606" spans="3:3" ht="12.45">
      <c r="C606" s="19"/>
    </row>
    <row r="607" spans="3:3" ht="12.45">
      <c r="C607" s="19"/>
    </row>
    <row r="608" spans="3:3" ht="12.45">
      <c r="C608" s="19"/>
    </row>
    <row r="609" spans="3:3" ht="12.45">
      <c r="C609" s="19"/>
    </row>
    <row r="610" spans="3:3" ht="12.45">
      <c r="C610" s="19"/>
    </row>
    <row r="611" spans="3:3" ht="12.45">
      <c r="C611" s="19"/>
    </row>
    <row r="612" spans="3:3" ht="12.45">
      <c r="C612" s="19"/>
    </row>
    <row r="613" spans="3:3" ht="12.45">
      <c r="C613" s="19"/>
    </row>
    <row r="614" spans="3:3" ht="12.45">
      <c r="C614" s="19"/>
    </row>
    <row r="615" spans="3:3" ht="12.45">
      <c r="C615" s="19"/>
    </row>
    <row r="616" spans="3:3" ht="12.45">
      <c r="C616" s="19"/>
    </row>
    <row r="617" spans="3:3" ht="12.45">
      <c r="C617" s="19"/>
    </row>
    <row r="618" spans="3:3" ht="12.45">
      <c r="C618" s="19"/>
    </row>
    <row r="619" spans="3:3" ht="12.45">
      <c r="C619" s="19"/>
    </row>
    <row r="620" spans="3:3" ht="12.45">
      <c r="C620" s="19"/>
    </row>
    <row r="621" spans="3:3" ht="12.45">
      <c r="C621" s="19"/>
    </row>
    <row r="622" spans="3:3" ht="12.45">
      <c r="C622" s="19"/>
    </row>
    <row r="623" spans="3:3" ht="12.45">
      <c r="C623" s="19"/>
    </row>
    <row r="624" spans="3:3" ht="12.45">
      <c r="C624" s="19"/>
    </row>
    <row r="625" spans="3:3" ht="12.45">
      <c r="C625" s="19"/>
    </row>
    <row r="626" spans="3:3" ht="12.45">
      <c r="C626" s="19"/>
    </row>
    <row r="627" spans="3:3" ht="12.45">
      <c r="C627" s="19"/>
    </row>
    <row r="628" spans="3:3" ht="12.45">
      <c r="C628" s="19"/>
    </row>
    <row r="629" spans="3:3" ht="12.45">
      <c r="C629" s="19"/>
    </row>
    <row r="630" spans="3:3" ht="12.45">
      <c r="C630" s="19"/>
    </row>
    <row r="631" spans="3:3" ht="12.45">
      <c r="C631" s="19"/>
    </row>
    <row r="632" spans="3:3" ht="12.45">
      <c r="C632" s="19"/>
    </row>
    <row r="633" spans="3:3" ht="12.45">
      <c r="C633" s="19"/>
    </row>
    <row r="634" spans="3:3" ht="12.45">
      <c r="C634" s="19"/>
    </row>
    <row r="635" spans="3:3" ht="12.45">
      <c r="C635" s="19"/>
    </row>
    <row r="636" spans="3:3" ht="12.45">
      <c r="C636" s="19"/>
    </row>
    <row r="637" spans="3:3" ht="12.45">
      <c r="C637" s="19"/>
    </row>
    <row r="638" spans="3:3" ht="12.45">
      <c r="C638" s="19"/>
    </row>
    <row r="639" spans="3:3" ht="12.45">
      <c r="C639" s="19"/>
    </row>
    <row r="640" spans="3:3" ht="12.45">
      <c r="C640" s="19"/>
    </row>
    <row r="641" spans="3:3" ht="12.45">
      <c r="C641" s="19"/>
    </row>
    <row r="642" spans="3:3" ht="12.45">
      <c r="C642" s="19"/>
    </row>
    <row r="643" spans="3:3" ht="12.45">
      <c r="C643" s="19"/>
    </row>
    <row r="644" spans="3:3" ht="12.45">
      <c r="C644" s="19"/>
    </row>
    <row r="645" spans="3:3" ht="12.45">
      <c r="C645" s="19"/>
    </row>
    <row r="646" spans="3:3" ht="12.45">
      <c r="C646" s="19"/>
    </row>
    <row r="647" spans="3:3" ht="12.45">
      <c r="C647" s="19"/>
    </row>
    <row r="648" spans="3:3" ht="12.45">
      <c r="C648" s="19"/>
    </row>
    <row r="649" spans="3:3" ht="12.45">
      <c r="C649" s="19"/>
    </row>
    <row r="650" spans="3:3" ht="12.45">
      <c r="C650" s="19"/>
    </row>
    <row r="651" spans="3:3" ht="12.45">
      <c r="C651" s="19"/>
    </row>
    <row r="652" spans="3:3" ht="12.45">
      <c r="C652" s="19"/>
    </row>
    <row r="653" spans="3:3" ht="12.45">
      <c r="C653" s="19"/>
    </row>
    <row r="654" spans="3:3" ht="12.45">
      <c r="C654" s="19"/>
    </row>
    <row r="655" spans="3:3" ht="12.45">
      <c r="C655" s="19"/>
    </row>
    <row r="656" spans="3:3" ht="12.45">
      <c r="C656" s="19"/>
    </row>
    <row r="657" spans="3:3" ht="12.45">
      <c r="C657" s="19"/>
    </row>
    <row r="658" spans="3:3" ht="12.45">
      <c r="C658" s="19"/>
    </row>
    <row r="659" spans="3:3" ht="12.45">
      <c r="C659" s="19"/>
    </row>
    <row r="660" spans="3:3" ht="12.45">
      <c r="C660" s="19"/>
    </row>
    <row r="661" spans="3:3" ht="12.45">
      <c r="C661" s="19"/>
    </row>
    <row r="662" spans="3:3" ht="12.45">
      <c r="C662" s="19"/>
    </row>
    <row r="663" spans="3:3" ht="12.45">
      <c r="C663" s="19"/>
    </row>
    <row r="664" spans="3:3" ht="12.45">
      <c r="C664" s="19"/>
    </row>
    <row r="665" spans="3:3" ht="12.45">
      <c r="C665" s="19"/>
    </row>
    <row r="666" spans="3:3" ht="12.45">
      <c r="C666" s="19"/>
    </row>
    <row r="667" spans="3:3" ht="12.45">
      <c r="C667" s="19"/>
    </row>
    <row r="668" spans="3:3" ht="12.45">
      <c r="C668" s="19"/>
    </row>
    <row r="669" spans="3:3" ht="12.45">
      <c r="C669" s="19"/>
    </row>
    <row r="670" spans="3:3" ht="12.45">
      <c r="C670" s="19"/>
    </row>
    <row r="671" spans="3:3" ht="12.45">
      <c r="C671" s="19"/>
    </row>
    <row r="672" spans="3:3" ht="12.45">
      <c r="C672" s="19"/>
    </row>
    <row r="673" spans="3:3" ht="12.45">
      <c r="C673" s="19"/>
    </row>
    <row r="674" spans="3:3" ht="12.45">
      <c r="C674" s="19"/>
    </row>
    <row r="675" spans="3:3" ht="12.45">
      <c r="C675" s="19"/>
    </row>
    <row r="676" spans="3:3" ht="12.45">
      <c r="C676" s="19"/>
    </row>
    <row r="677" spans="3:3" ht="12.45">
      <c r="C677" s="19"/>
    </row>
    <row r="678" spans="3:3" ht="12.45">
      <c r="C678" s="19"/>
    </row>
    <row r="679" spans="3:3" ht="12.45">
      <c r="C679" s="19"/>
    </row>
    <row r="680" spans="3:3" ht="12.45">
      <c r="C680" s="19"/>
    </row>
    <row r="681" spans="3:3" ht="12.45">
      <c r="C681" s="19"/>
    </row>
    <row r="682" spans="3:3" ht="12.45">
      <c r="C682" s="19"/>
    </row>
    <row r="683" spans="3:3" ht="12.45">
      <c r="C683" s="19"/>
    </row>
    <row r="684" spans="3:3" ht="12.45">
      <c r="C684" s="19"/>
    </row>
    <row r="685" spans="3:3" ht="12.45">
      <c r="C685" s="19"/>
    </row>
    <row r="686" spans="3:3" ht="12.45">
      <c r="C686" s="19"/>
    </row>
    <row r="687" spans="3:3" ht="12.45">
      <c r="C687" s="19"/>
    </row>
    <row r="688" spans="3:3" ht="12.45">
      <c r="C688" s="19"/>
    </row>
    <row r="689" spans="3:3" ht="12.45">
      <c r="C689" s="19"/>
    </row>
    <row r="690" spans="3:3" ht="12.45">
      <c r="C690" s="19"/>
    </row>
    <row r="691" spans="3:3" ht="12.45">
      <c r="C691" s="19"/>
    </row>
    <row r="692" spans="3:3" ht="12.45">
      <c r="C692" s="19"/>
    </row>
    <row r="693" spans="3:3" ht="12.45">
      <c r="C693" s="19"/>
    </row>
    <row r="694" spans="3:3" ht="12.45">
      <c r="C694" s="19"/>
    </row>
    <row r="695" spans="3:3" ht="12.45">
      <c r="C695" s="19"/>
    </row>
    <row r="696" spans="3:3" ht="12.45">
      <c r="C696" s="19"/>
    </row>
    <row r="697" spans="3:3" ht="12.45">
      <c r="C697" s="19"/>
    </row>
    <row r="698" spans="3:3" ht="12.45">
      <c r="C698" s="19"/>
    </row>
    <row r="699" spans="3:3" ht="12.45">
      <c r="C699" s="19"/>
    </row>
    <row r="700" spans="3:3" ht="12.45">
      <c r="C700" s="19"/>
    </row>
    <row r="701" spans="3:3" ht="12.45">
      <c r="C701" s="19"/>
    </row>
    <row r="702" spans="3:3" ht="12.45">
      <c r="C702" s="19"/>
    </row>
    <row r="703" spans="3:3" ht="12.45">
      <c r="C703" s="19"/>
    </row>
    <row r="704" spans="3:3" ht="12.45">
      <c r="C704" s="19"/>
    </row>
    <row r="705" spans="3:3" ht="12.45">
      <c r="C705" s="19"/>
    </row>
    <row r="706" spans="3:3" ht="12.45">
      <c r="C706" s="19"/>
    </row>
    <row r="707" spans="3:3" ht="12.45">
      <c r="C707" s="19"/>
    </row>
    <row r="708" spans="3:3" ht="12.45">
      <c r="C708" s="19"/>
    </row>
    <row r="709" spans="3:3" ht="12.45">
      <c r="C709" s="19"/>
    </row>
    <row r="710" spans="3:3" ht="12.45">
      <c r="C710" s="19"/>
    </row>
    <row r="711" spans="3:3" ht="12.45">
      <c r="C711" s="19"/>
    </row>
    <row r="712" spans="3:3" ht="12.45">
      <c r="C712" s="19"/>
    </row>
    <row r="713" spans="3:3" ht="12.45">
      <c r="C713" s="19"/>
    </row>
    <row r="714" spans="3:3" ht="12.45">
      <c r="C714" s="19"/>
    </row>
    <row r="715" spans="3:3" ht="12.45">
      <c r="C715" s="19"/>
    </row>
    <row r="716" spans="3:3" ht="12.45">
      <c r="C716" s="19"/>
    </row>
    <row r="717" spans="3:3" ht="12.45">
      <c r="C717" s="19"/>
    </row>
    <row r="718" spans="3:3" ht="12.45">
      <c r="C718" s="19"/>
    </row>
    <row r="719" spans="3:3" ht="12.45">
      <c r="C719" s="19"/>
    </row>
    <row r="720" spans="3:3" ht="12.45">
      <c r="C720" s="19"/>
    </row>
    <row r="721" spans="3:3" ht="12.45">
      <c r="C721" s="19"/>
    </row>
    <row r="722" spans="3:3" ht="12.45">
      <c r="C722" s="19"/>
    </row>
    <row r="723" spans="3:3" ht="12.45">
      <c r="C723" s="19"/>
    </row>
    <row r="724" spans="3:3" ht="12.45">
      <c r="C724" s="19"/>
    </row>
    <row r="725" spans="3:3" ht="12.45">
      <c r="C725" s="19"/>
    </row>
    <row r="726" spans="3:3" ht="12.45">
      <c r="C726" s="19"/>
    </row>
    <row r="727" spans="3:3" ht="12.45">
      <c r="C727" s="19"/>
    </row>
    <row r="728" spans="3:3" ht="12.45">
      <c r="C728" s="19"/>
    </row>
    <row r="729" spans="3:3" ht="12.45">
      <c r="C729" s="19"/>
    </row>
    <row r="730" spans="3:3" ht="12.45">
      <c r="C730" s="19"/>
    </row>
    <row r="731" spans="3:3" ht="12.45">
      <c r="C731" s="19"/>
    </row>
    <row r="732" spans="3:3" ht="12.45">
      <c r="C732" s="19"/>
    </row>
    <row r="733" spans="3:3" ht="12.45">
      <c r="C733" s="19"/>
    </row>
    <row r="734" spans="3:3" ht="12.45">
      <c r="C734" s="19"/>
    </row>
    <row r="735" spans="3:3" ht="12.45">
      <c r="C735" s="19"/>
    </row>
    <row r="736" spans="3:3" ht="12.45">
      <c r="C736" s="19"/>
    </row>
    <row r="737" spans="3:3" ht="12.45">
      <c r="C737" s="19"/>
    </row>
    <row r="738" spans="3:3" ht="12.45">
      <c r="C738" s="19"/>
    </row>
    <row r="739" spans="3:3" ht="12.45">
      <c r="C739" s="19"/>
    </row>
    <row r="740" spans="3:3" ht="12.45">
      <c r="C740" s="19"/>
    </row>
    <row r="741" spans="3:3" ht="12.45">
      <c r="C741" s="19"/>
    </row>
    <row r="742" spans="3:3" ht="12.45">
      <c r="C742" s="19"/>
    </row>
    <row r="743" spans="3:3" ht="12.45">
      <c r="C743" s="19"/>
    </row>
    <row r="744" spans="3:3" ht="12.45">
      <c r="C744" s="19"/>
    </row>
    <row r="745" spans="3:3" ht="12.45">
      <c r="C745" s="19"/>
    </row>
    <row r="746" spans="3:3" ht="12.45">
      <c r="C746" s="19"/>
    </row>
    <row r="747" spans="3:3" ht="12.45">
      <c r="C747" s="19"/>
    </row>
    <row r="748" spans="3:3" ht="12.45">
      <c r="C748" s="19"/>
    </row>
    <row r="749" spans="3:3" ht="12.45">
      <c r="C749" s="19"/>
    </row>
    <row r="750" spans="3:3" ht="12.45">
      <c r="C750" s="19"/>
    </row>
    <row r="751" spans="3:3" ht="12.45">
      <c r="C751" s="19"/>
    </row>
    <row r="752" spans="3:3" ht="12.45">
      <c r="C752" s="19"/>
    </row>
    <row r="753" spans="3:3" ht="12.45">
      <c r="C753" s="19"/>
    </row>
    <row r="754" spans="3:3" ht="12.45">
      <c r="C754" s="19"/>
    </row>
    <row r="755" spans="3:3" ht="12.45">
      <c r="C755" s="19"/>
    </row>
    <row r="756" spans="3:3" ht="12.45">
      <c r="C756" s="19"/>
    </row>
    <row r="757" spans="3:3" ht="12.45">
      <c r="C757" s="19"/>
    </row>
    <row r="758" spans="3:3" ht="12.45">
      <c r="C758" s="19"/>
    </row>
    <row r="759" spans="3:3" ht="12.45">
      <c r="C759" s="19"/>
    </row>
    <row r="760" spans="3:3" ht="12.45">
      <c r="C760" s="19"/>
    </row>
    <row r="761" spans="3:3" ht="12.45">
      <c r="C761" s="19"/>
    </row>
    <row r="762" spans="3:3" ht="12.45">
      <c r="C762" s="19"/>
    </row>
    <row r="763" spans="3:3" ht="12.45">
      <c r="C763" s="19"/>
    </row>
    <row r="764" spans="3:3" ht="12.45">
      <c r="C764" s="19"/>
    </row>
    <row r="765" spans="3:3" ht="12.45">
      <c r="C765" s="19"/>
    </row>
    <row r="766" spans="3:3" ht="12.45">
      <c r="C766" s="19"/>
    </row>
    <row r="767" spans="3:3" ht="12.45">
      <c r="C767" s="19"/>
    </row>
    <row r="768" spans="3:3" ht="12.45">
      <c r="C768" s="19"/>
    </row>
    <row r="769" spans="3:3" ht="12.45">
      <c r="C769" s="19"/>
    </row>
    <row r="770" spans="3:3" ht="12.45">
      <c r="C770" s="19"/>
    </row>
    <row r="771" spans="3:3" ht="12.45">
      <c r="C771" s="19"/>
    </row>
    <row r="772" spans="3:3" ht="12.45">
      <c r="C772" s="19"/>
    </row>
    <row r="773" spans="3:3" ht="12.45">
      <c r="C773" s="19"/>
    </row>
    <row r="774" spans="3:3" ht="12.45">
      <c r="C774" s="19"/>
    </row>
    <row r="775" spans="3:3" ht="12.45">
      <c r="C775" s="19"/>
    </row>
    <row r="776" spans="3:3" ht="12.45">
      <c r="C776" s="19"/>
    </row>
    <row r="777" spans="3:3" ht="12.45">
      <c r="C777" s="19"/>
    </row>
    <row r="778" spans="3:3" ht="12.45">
      <c r="C778" s="19"/>
    </row>
    <row r="779" spans="3:3" ht="12.45">
      <c r="C779" s="19"/>
    </row>
    <row r="780" spans="3:3" ht="12.45">
      <c r="C780" s="19"/>
    </row>
    <row r="781" spans="3:3" ht="12.45">
      <c r="C781" s="19"/>
    </row>
    <row r="782" spans="3:3" ht="12.45">
      <c r="C782" s="19"/>
    </row>
    <row r="783" spans="3:3" ht="12.45">
      <c r="C783" s="19"/>
    </row>
    <row r="784" spans="3:3" ht="12.45">
      <c r="C784" s="19"/>
    </row>
    <row r="785" spans="3:3" ht="12.45">
      <c r="C785" s="19"/>
    </row>
    <row r="786" spans="3:3" ht="12.45">
      <c r="C786" s="19"/>
    </row>
    <row r="787" spans="3:3" ht="12.45">
      <c r="C787" s="19"/>
    </row>
    <row r="788" spans="3:3" ht="12.45">
      <c r="C788" s="19"/>
    </row>
    <row r="789" spans="3:3" ht="12.45">
      <c r="C789" s="19"/>
    </row>
    <row r="790" spans="3:3" ht="12.45">
      <c r="C790" s="19"/>
    </row>
    <row r="791" spans="3:3" ht="12.45">
      <c r="C791" s="19"/>
    </row>
    <row r="792" spans="3:3" ht="12.45">
      <c r="C792" s="19"/>
    </row>
    <row r="793" spans="3:3" ht="12.45">
      <c r="C793" s="19"/>
    </row>
    <row r="794" spans="3:3" ht="12.45">
      <c r="C794" s="19"/>
    </row>
    <row r="795" spans="3:3" ht="12.45">
      <c r="C795" s="19"/>
    </row>
    <row r="796" spans="3:3" ht="12.45">
      <c r="C796" s="19"/>
    </row>
    <row r="797" spans="3:3" ht="12.45">
      <c r="C797" s="19"/>
    </row>
    <row r="798" spans="3:3" ht="12.45">
      <c r="C798" s="19"/>
    </row>
    <row r="799" spans="3:3" ht="12.45">
      <c r="C799" s="19"/>
    </row>
    <row r="800" spans="3:3" ht="12.45">
      <c r="C800" s="19"/>
    </row>
    <row r="801" spans="3:3" ht="12.45">
      <c r="C801" s="19"/>
    </row>
    <row r="802" spans="3:3" ht="12.45">
      <c r="C802" s="19"/>
    </row>
    <row r="803" spans="3:3" ht="12.45">
      <c r="C803" s="19"/>
    </row>
    <row r="804" spans="3:3" ht="12.45">
      <c r="C804" s="19"/>
    </row>
    <row r="805" spans="3:3" ht="12.45">
      <c r="C805" s="19"/>
    </row>
    <row r="806" spans="3:3" ht="12.45">
      <c r="C806" s="19"/>
    </row>
    <row r="807" spans="3:3" ht="12.45">
      <c r="C807" s="19"/>
    </row>
    <row r="808" spans="3:3" ht="12.45">
      <c r="C808" s="19"/>
    </row>
    <row r="809" spans="3:3" ht="12.45">
      <c r="C809" s="19"/>
    </row>
    <row r="810" spans="3:3" ht="12.45">
      <c r="C810" s="19"/>
    </row>
    <row r="811" spans="3:3" ht="12.45">
      <c r="C811" s="19"/>
    </row>
    <row r="812" spans="3:3" ht="12.45">
      <c r="C812" s="19"/>
    </row>
    <row r="813" spans="3:3" ht="12.45">
      <c r="C813" s="19"/>
    </row>
    <row r="814" spans="3:3" ht="12.45">
      <c r="C814" s="19"/>
    </row>
    <row r="815" spans="3:3" ht="12.45">
      <c r="C815" s="19"/>
    </row>
    <row r="816" spans="3:3" ht="12.45">
      <c r="C816" s="19"/>
    </row>
    <row r="817" spans="3:3" ht="12.45">
      <c r="C817" s="19"/>
    </row>
    <row r="818" spans="3:3" ht="12.45">
      <c r="C818" s="19"/>
    </row>
    <row r="819" spans="3:3" ht="12.45">
      <c r="C819" s="19"/>
    </row>
    <row r="820" spans="3:3" ht="12.45">
      <c r="C820" s="19"/>
    </row>
    <row r="821" spans="3:3" ht="12.45">
      <c r="C821" s="19"/>
    </row>
    <row r="822" spans="3:3" ht="12.45">
      <c r="C822" s="19"/>
    </row>
    <row r="823" spans="3:3" ht="12.45">
      <c r="C823" s="19"/>
    </row>
    <row r="824" spans="3:3" ht="12.45">
      <c r="C824" s="19"/>
    </row>
    <row r="825" spans="3:3" ht="12.45">
      <c r="C825" s="19"/>
    </row>
    <row r="826" spans="3:3" ht="12.45">
      <c r="C826" s="19"/>
    </row>
    <row r="827" spans="3:3" ht="12.45">
      <c r="C827" s="19"/>
    </row>
    <row r="828" spans="3:3" ht="12.45">
      <c r="C828" s="19"/>
    </row>
    <row r="829" spans="3:3" ht="12.45">
      <c r="C829" s="19"/>
    </row>
    <row r="830" spans="3:3" ht="12.45">
      <c r="C830" s="19"/>
    </row>
    <row r="831" spans="3:3" ht="12.45">
      <c r="C831" s="19"/>
    </row>
    <row r="832" spans="3:3" ht="12.45">
      <c r="C832" s="19"/>
    </row>
    <row r="833" spans="3:3" ht="12.45">
      <c r="C833" s="19"/>
    </row>
    <row r="834" spans="3:3" ht="12.45">
      <c r="C834" s="19"/>
    </row>
    <row r="835" spans="3:3" ht="12.45">
      <c r="C835" s="19"/>
    </row>
    <row r="836" spans="3:3" ht="12.45">
      <c r="C836" s="19"/>
    </row>
    <row r="837" spans="3:3" ht="12.45">
      <c r="C837" s="19"/>
    </row>
    <row r="838" spans="3:3" ht="12.45">
      <c r="C838" s="19"/>
    </row>
    <row r="839" spans="3:3" ht="12.45">
      <c r="C839" s="19"/>
    </row>
    <row r="840" spans="3:3" ht="12.45">
      <c r="C840" s="19"/>
    </row>
    <row r="841" spans="3:3" ht="12.45">
      <c r="C841" s="19"/>
    </row>
    <row r="842" spans="3:3" ht="12.45">
      <c r="C842" s="19"/>
    </row>
    <row r="843" spans="3:3" ht="12.45">
      <c r="C843" s="19"/>
    </row>
    <row r="844" spans="3:3" ht="12.45">
      <c r="C844" s="19"/>
    </row>
    <row r="845" spans="3:3" ht="12.45">
      <c r="C845" s="19"/>
    </row>
    <row r="846" spans="3:3" ht="12.45">
      <c r="C846" s="19"/>
    </row>
    <row r="847" spans="3:3" ht="12.45">
      <c r="C847" s="19"/>
    </row>
    <row r="848" spans="3:3" ht="12.45">
      <c r="C848" s="19"/>
    </row>
    <row r="849" spans="3:3" ht="12.45">
      <c r="C849" s="19"/>
    </row>
    <row r="850" spans="3:3" ht="12.45">
      <c r="C850" s="19"/>
    </row>
    <row r="851" spans="3:3" ht="12.45">
      <c r="C851" s="19"/>
    </row>
    <row r="852" spans="3:3" ht="12.45">
      <c r="C852" s="19"/>
    </row>
    <row r="853" spans="3:3" ht="12.45">
      <c r="C853" s="19"/>
    </row>
    <row r="854" spans="3:3" ht="12.45">
      <c r="C854" s="19"/>
    </row>
    <row r="855" spans="3:3" ht="12.45">
      <c r="C855" s="19"/>
    </row>
    <row r="856" spans="3:3" ht="12.45">
      <c r="C856" s="19"/>
    </row>
    <row r="857" spans="3:3" ht="12.45">
      <c r="C857" s="19"/>
    </row>
    <row r="858" spans="3:3" ht="12.45">
      <c r="C858" s="19"/>
    </row>
    <row r="859" spans="3:3" ht="12.45">
      <c r="C859" s="19"/>
    </row>
    <row r="860" spans="3:3" ht="12.45">
      <c r="C860" s="19"/>
    </row>
    <row r="861" spans="3:3" ht="12.45">
      <c r="C861" s="19"/>
    </row>
    <row r="862" spans="3:3" ht="12.45">
      <c r="C862" s="19"/>
    </row>
    <row r="863" spans="3:3" ht="12.45">
      <c r="C863" s="19"/>
    </row>
    <row r="864" spans="3:3" ht="12.45">
      <c r="C864" s="19"/>
    </row>
    <row r="865" spans="3:3" ht="12.45">
      <c r="C865" s="19"/>
    </row>
    <row r="866" spans="3:3" ht="12.45">
      <c r="C866" s="19"/>
    </row>
    <row r="867" spans="3:3" ht="12.45">
      <c r="C867" s="19"/>
    </row>
    <row r="868" spans="3:3" ht="12.45">
      <c r="C868" s="19"/>
    </row>
    <row r="869" spans="3:3" ht="12.45">
      <c r="C869" s="19"/>
    </row>
    <row r="870" spans="3:3" ht="12.45">
      <c r="C870" s="19"/>
    </row>
    <row r="871" spans="3:3" ht="12.45">
      <c r="C871" s="19"/>
    </row>
    <row r="872" spans="3:3" ht="12.45">
      <c r="C872" s="19"/>
    </row>
    <row r="873" spans="3:3" ht="12.45">
      <c r="C873" s="19"/>
    </row>
    <row r="874" spans="3:3" ht="12.45">
      <c r="C874" s="19"/>
    </row>
    <row r="875" spans="3:3" ht="12.45">
      <c r="C875" s="19"/>
    </row>
    <row r="876" spans="3:3" ht="12.45">
      <c r="C876" s="19"/>
    </row>
    <row r="877" spans="3:3" ht="12.45">
      <c r="C877" s="19"/>
    </row>
    <row r="878" spans="3:3" ht="12.45">
      <c r="C878" s="19"/>
    </row>
    <row r="879" spans="3:3" ht="12.45">
      <c r="C879" s="19"/>
    </row>
    <row r="880" spans="3:3" ht="12.45">
      <c r="C880" s="19"/>
    </row>
    <row r="881" spans="3:3" ht="12.45">
      <c r="C881" s="19"/>
    </row>
    <row r="882" spans="3:3" ht="12.45">
      <c r="C882" s="19"/>
    </row>
    <row r="883" spans="3:3" ht="12.45">
      <c r="C883" s="19"/>
    </row>
    <row r="884" spans="3:3" ht="12.45">
      <c r="C884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4"/>
  <sheetViews>
    <sheetView workbookViewId="0">
      <selection sqref="A1:I11"/>
    </sheetView>
  </sheetViews>
  <sheetFormatPr baseColWidth="10" defaultColWidth="12.61328125" defaultRowHeight="15.75" customHeight="1"/>
  <cols>
    <col min="1" max="1" width="5.23046875" customWidth="1"/>
    <col min="2" max="2" width="11.53515625" bestFit="1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8" customWidth="1"/>
    <col min="9" max="9" width="4.15234375" customWidth="1"/>
  </cols>
  <sheetData>
    <row r="1" spans="1:9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</row>
    <row r="2" spans="1:9" ht="15.75" customHeight="1">
      <c r="A2" s="56" t="s">
        <v>68</v>
      </c>
      <c r="B2" s="56" t="s">
        <v>25</v>
      </c>
      <c r="C2" s="56">
        <v>54</v>
      </c>
      <c r="D2" s="56" t="s">
        <v>69</v>
      </c>
      <c r="E2" s="60">
        <v>0.9153</v>
      </c>
      <c r="F2" s="56"/>
      <c r="G2" s="56"/>
      <c r="H2" s="56"/>
      <c r="I2" s="58"/>
    </row>
    <row r="3" spans="1:9" ht="15.75" customHeight="1">
      <c r="A3" s="3" t="s">
        <v>10</v>
      </c>
      <c r="B3" s="56" t="str">
        <f>'Por año'!B37</f>
        <v>Fase General</v>
      </c>
      <c r="C3" s="19">
        <f>'Por año'!C37</f>
        <v>37</v>
      </c>
      <c r="D3" s="56" t="str">
        <f t="shared" ref="D3:D11" si="0">CONCATENATE(A3,"(",C3,")")</f>
        <v>24-25(37)</v>
      </c>
      <c r="E3" s="60">
        <f>'Por año'!E37</f>
        <v>0.97299999999999998</v>
      </c>
      <c r="F3" s="61">
        <f>'Por año'!F37</f>
        <v>6.01</v>
      </c>
      <c r="G3" s="61">
        <f>'Por año'!G37</f>
        <v>7.065675675675676</v>
      </c>
      <c r="H3" s="61"/>
      <c r="I3" s="61">
        <f>'Por año'!I37</f>
        <v>6.4370000000000003</v>
      </c>
    </row>
    <row r="4" spans="1:9" ht="15.75" customHeight="1">
      <c r="A4" s="3" t="s">
        <v>28</v>
      </c>
      <c r="B4" s="56" t="str">
        <f>'Por año'!B56</f>
        <v>Fase General</v>
      </c>
      <c r="C4" s="19">
        <f>'Por año'!C56</f>
        <v>44</v>
      </c>
      <c r="D4" s="56" t="str">
        <f t="shared" si="0"/>
        <v>23-24(44)</v>
      </c>
      <c r="E4" s="60">
        <f>'Por año'!E56</f>
        <v>0.93179999999999996</v>
      </c>
      <c r="F4" s="61">
        <f>'Por año'!F56</f>
        <v>5.9</v>
      </c>
      <c r="G4" s="61">
        <f>'Por año'!G56</f>
        <v>6.8379096045197754</v>
      </c>
      <c r="H4" s="61">
        <f>'Por año'!H56</f>
        <v>0.95720000000000005</v>
      </c>
      <c r="I4" s="61">
        <f>'Por año'!I56</f>
        <v>6.65</v>
      </c>
    </row>
    <row r="5" spans="1:9" ht="15.75" customHeight="1">
      <c r="A5" s="3" t="s">
        <v>31</v>
      </c>
      <c r="B5" s="56" t="str">
        <f>'Por año'!B75</f>
        <v>Fase General</v>
      </c>
      <c r="C5" s="19">
        <f>'Por año'!C75</f>
        <v>43</v>
      </c>
      <c r="D5" s="56" t="str">
        <f t="shared" si="0"/>
        <v>22-23(43)</v>
      </c>
      <c r="E5" s="60">
        <f>'Por año'!E75</f>
        <v>0.9556</v>
      </c>
      <c r="F5" s="61">
        <f>'Por año'!F75</f>
        <v>6.41</v>
      </c>
      <c r="G5" s="61">
        <f ca="1">'Por año'!G75</f>
        <v>7.0848837209302298</v>
      </c>
      <c r="H5" s="60">
        <f>'Por año'!H75</f>
        <v>0.9526</v>
      </c>
      <c r="I5" s="61">
        <f>'Por año'!I75</f>
        <v>6.7430000000000003</v>
      </c>
    </row>
    <row r="6" spans="1:9" ht="15.75" customHeight="1">
      <c r="A6" s="56" t="str">
        <f>'Por año'!A94</f>
        <v>21-22</v>
      </c>
      <c r="B6" s="56" t="str">
        <f>'Por año'!B94</f>
        <v>Fase General</v>
      </c>
      <c r="C6" s="19">
        <f>'Por año'!C94</f>
        <v>48</v>
      </c>
      <c r="D6" s="56" t="str">
        <f t="shared" si="0"/>
        <v>21-22(48)</v>
      </c>
      <c r="E6" s="60">
        <f>'Por año'!E94</f>
        <v>0.88</v>
      </c>
      <c r="F6" s="61">
        <f ca="1">'Por año'!F94</f>
        <v>6.1552083333333298</v>
      </c>
      <c r="G6" s="61">
        <f ca="1">'Por año'!G94</f>
        <v>7.0147916666666603</v>
      </c>
      <c r="H6" s="60">
        <f>'Por año'!H94</f>
        <v>0.93279999999999996</v>
      </c>
      <c r="I6" s="61">
        <f>'Por año'!I94</f>
        <v>6.49</v>
      </c>
    </row>
    <row r="7" spans="1:9" ht="15.75" customHeight="1">
      <c r="A7" s="56" t="str">
        <f>'Por año'!A113</f>
        <v>20-21</v>
      </c>
      <c r="B7" s="56" t="str">
        <f>'Por año'!B113</f>
        <v>Fase General</v>
      </c>
      <c r="C7" s="19">
        <f>'Por año'!C113</f>
        <v>49</v>
      </c>
      <c r="D7" s="56" t="str">
        <f t="shared" si="0"/>
        <v>20-21(49)</v>
      </c>
      <c r="E7" s="60">
        <f>'Por año'!E113</f>
        <v>0.95920000000000005</v>
      </c>
      <c r="F7" s="61">
        <f ca="1">'Por año'!F113</f>
        <v>5.9013705583756302</v>
      </c>
      <c r="G7" s="61">
        <f ca="1">'Por año'!G113</f>
        <v>6.68091370558375</v>
      </c>
      <c r="H7" s="60">
        <f>'Por año'!H113</f>
        <v>0.93679999999999997</v>
      </c>
      <c r="I7" s="61">
        <f>'Por año'!I113</f>
        <v>6.39</v>
      </c>
    </row>
    <row r="8" spans="1:9" ht="15.75" customHeight="1">
      <c r="A8" s="56" t="str">
        <f>'Por año'!A132</f>
        <v>19-20</v>
      </c>
      <c r="B8" s="56" t="str">
        <f>'Por año'!B132</f>
        <v>Fase General</v>
      </c>
      <c r="C8" s="19">
        <f>'Por año'!C132</f>
        <v>50</v>
      </c>
      <c r="D8" s="56" t="str">
        <f t="shared" si="0"/>
        <v>19-20(50)</v>
      </c>
      <c r="E8" s="60">
        <f>'Por año'!E132</f>
        <v>0.88</v>
      </c>
      <c r="F8" s="61">
        <f ca="1">'Por año'!F132</f>
        <v>6.4415223880596999</v>
      </c>
      <c r="G8" s="61">
        <f ca="1">'Por año'!G132</f>
        <v>8.0024875621890494</v>
      </c>
      <c r="H8" s="60">
        <f>'Por año'!H132</f>
        <v>0.90239999999999998</v>
      </c>
      <c r="I8" s="56">
        <f>'Por año'!I132</f>
        <v>6.22</v>
      </c>
    </row>
    <row r="9" spans="1:9" ht="15.75" customHeight="1">
      <c r="A9" s="56" t="str">
        <f>'Por año'!A151</f>
        <v>18-19</v>
      </c>
      <c r="B9" s="56" t="str">
        <f>'Por año'!B151</f>
        <v>Fase General</v>
      </c>
      <c r="C9" s="19">
        <f>'Por año'!C151</f>
        <v>36</v>
      </c>
      <c r="D9" s="56" t="str">
        <f t="shared" si="0"/>
        <v>18-19(36)</v>
      </c>
      <c r="E9" s="60">
        <f>'Por año'!E151</f>
        <v>0.94440000000000002</v>
      </c>
      <c r="F9" s="61">
        <f ca="1">'Por año'!F151</f>
        <v>6.0688827586206902</v>
      </c>
      <c r="G9" s="61">
        <f ca="1">'Por año'!G151</f>
        <v>6.7080000000000002</v>
      </c>
      <c r="H9" s="60">
        <f>'Por año'!H151</f>
        <v>0.90859999999999996</v>
      </c>
      <c r="I9" s="56">
        <f>'Por año'!I151</f>
        <v>6.03</v>
      </c>
    </row>
    <row r="10" spans="1:9" ht="15.75" customHeight="1">
      <c r="A10" s="56" t="str">
        <f>'Por año'!A170</f>
        <v>17-18</v>
      </c>
      <c r="B10" s="56" t="str">
        <f>'Por año'!B170</f>
        <v>Fase General</v>
      </c>
      <c r="C10" s="19">
        <f>'Por año'!C170</f>
        <v>31</v>
      </c>
      <c r="D10" s="56" t="str">
        <f t="shared" si="0"/>
        <v>17-18(31)</v>
      </c>
      <c r="E10" s="60">
        <f>'Por año'!E170</f>
        <v>0.9355</v>
      </c>
      <c r="F10" s="61">
        <f ca="1">'Por año'!F170</f>
        <v>5.8432698412698398</v>
      </c>
      <c r="G10" s="61">
        <f ca="1">'Por año'!G170</f>
        <v>6.6826984126984099</v>
      </c>
      <c r="H10" s="60">
        <f>'Por año'!H170</f>
        <v>0.92259999999999998</v>
      </c>
      <c r="I10" s="56">
        <f>'Por año'!I170</f>
        <v>6.11</v>
      </c>
    </row>
    <row r="11" spans="1:9" ht="15.75" customHeight="1">
      <c r="A11" s="56" t="str">
        <f>'Por año'!A189</f>
        <v>16-17</v>
      </c>
      <c r="B11" s="56" t="str">
        <f>'Por año'!B189</f>
        <v>Fase General</v>
      </c>
      <c r="C11" s="19">
        <f>'Por año'!C189</f>
        <v>35</v>
      </c>
      <c r="D11" s="56" t="str">
        <f t="shared" si="0"/>
        <v>16-17(35)</v>
      </c>
      <c r="E11" s="60">
        <f>'Por año'!E189</f>
        <v>0.94289999999999996</v>
      </c>
      <c r="F11" s="61">
        <f ca="1">'Por año'!F189</f>
        <v>6.0051914893617004</v>
      </c>
      <c r="G11" s="61">
        <f ca="1">'Por año'!G189</f>
        <v>6.7790780141843898</v>
      </c>
      <c r="H11" s="60">
        <f>'Por año'!H189</f>
        <v>0.88959999999999995</v>
      </c>
      <c r="I11" s="56">
        <f>'Por año'!I189</f>
        <v>5.97</v>
      </c>
    </row>
    <row r="17" spans="1:9" ht="15.75" customHeight="1">
      <c r="I17" s="56">
        <f>'Por año'!K174</f>
        <v>0</v>
      </c>
    </row>
    <row r="18" spans="1:9" ht="15.75" customHeight="1">
      <c r="A18" s="56">
        <f>'Por año'!A194</f>
        <v>0</v>
      </c>
      <c r="B18" s="56">
        <f>'Por año'!B194</f>
        <v>0</v>
      </c>
      <c r="C18" s="19">
        <f>'Por año'!C194</f>
        <v>0</v>
      </c>
      <c r="F18" s="56">
        <f>'Por año'!F194</f>
        <v>0</v>
      </c>
      <c r="I18" s="56">
        <f>'Por año'!K175</f>
        <v>0</v>
      </c>
    </row>
    <row r="19" spans="1:9" ht="15.75" customHeight="1">
      <c r="A19" s="56">
        <f>'Por año'!A195</f>
        <v>0</v>
      </c>
      <c r="B19" s="56">
        <f>'Por año'!B195</f>
        <v>0</v>
      </c>
      <c r="C19" s="19">
        <f>'Por año'!C195</f>
        <v>0</v>
      </c>
      <c r="F19" s="56">
        <f>'Por año'!F195</f>
        <v>0</v>
      </c>
      <c r="I19" s="56">
        <f>'Por año'!K176</f>
        <v>0</v>
      </c>
    </row>
    <row r="20" spans="1:9" ht="15.75" customHeight="1">
      <c r="A20" s="56">
        <f>'Por año'!A196</f>
        <v>0</v>
      </c>
      <c r="B20" s="56">
        <f>'Por año'!B196</f>
        <v>0</v>
      </c>
      <c r="C20" s="19">
        <f>'Por año'!C196</f>
        <v>0</v>
      </c>
      <c r="F20" s="56">
        <f>'Por año'!F196</f>
        <v>0</v>
      </c>
      <c r="I20" s="56">
        <f>'Por año'!K177</f>
        <v>0</v>
      </c>
    </row>
    <row r="21" spans="1:9" ht="15.75" customHeight="1">
      <c r="A21" s="56">
        <f>'Por año'!A197</f>
        <v>0</v>
      </c>
      <c r="B21" s="56">
        <f>'Por año'!B197</f>
        <v>0</v>
      </c>
      <c r="C21" s="19">
        <f>'Por año'!C197</f>
        <v>0</v>
      </c>
      <c r="F21" s="56">
        <f>'Por año'!F197</f>
        <v>0</v>
      </c>
      <c r="I21" s="56">
        <f>'Por año'!K178</f>
        <v>0</v>
      </c>
    </row>
    <row r="22" spans="1:9" ht="15.75" customHeight="1">
      <c r="A22" s="56">
        <f>'Por año'!A198</f>
        <v>0</v>
      </c>
      <c r="B22" s="56">
        <f>'Por año'!B198</f>
        <v>0</v>
      </c>
      <c r="C22" s="19">
        <f>'Por año'!C198</f>
        <v>0</v>
      </c>
      <c r="F22" s="56">
        <f>'Por año'!F198</f>
        <v>0</v>
      </c>
      <c r="I22" s="56">
        <f>'Por año'!K179</f>
        <v>0</v>
      </c>
    </row>
    <row r="23" spans="1:9" ht="15.75" customHeight="1">
      <c r="A23" s="56">
        <f>'Por año'!A199</f>
        <v>0</v>
      </c>
      <c r="B23" s="56">
        <f>'Por año'!B199</f>
        <v>0</v>
      </c>
      <c r="C23" s="19">
        <f>'Por año'!C199</f>
        <v>0</v>
      </c>
      <c r="F23" s="56">
        <f>'Por año'!F199</f>
        <v>0</v>
      </c>
      <c r="I23" s="56">
        <f>'Por año'!K180</f>
        <v>0</v>
      </c>
    </row>
    <row r="24" spans="1:9" ht="15.75" customHeight="1">
      <c r="A24" s="56">
        <f>'Por año'!A200</f>
        <v>0</v>
      </c>
      <c r="B24" s="56">
        <f>'Por año'!B200</f>
        <v>0</v>
      </c>
      <c r="C24" s="19">
        <f>'Por año'!C200</f>
        <v>0</v>
      </c>
      <c r="F24" s="56">
        <f>'Por año'!F200</f>
        <v>0</v>
      </c>
      <c r="I24" s="56">
        <f>'Por año'!K181</f>
        <v>0</v>
      </c>
    </row>
    <row r="25" spans="1:9" ht="15.75" customHeight="1">
      <c r="A25" s="56">
        <f>'Por año'!A201</f>
        <v>0</v>
      </c>
      <c r="B25" s="56">
        <f>'Por año'!B201</f>
        <v>0</v>
      </c>
      <c r="C25" s="19">
        <f>'Por año'!C201</f>
        <v>0</v>
      </c>
      <c r="F25" s="56">
        <f>'Por año'!F201</f>
        <v>0</v>
      </c>
      <c r="I25" s="56">
        <f>'Por año'!K182</f>
        <v>0</v>
      </c>
    </row>
    <row r="26" spans="1:9" ht="15.75" customHeight="1">
      <c r="A26" s="56">
        <f>'Por año'!A202</f>
        <v>0</v>
      </c>
      <c r="B26" s="56">
        <f>'Por año'!B202</f>
        <v>0</v>
      </c>
      <c r="C26" s="19">
        <f>'Por año'!C202</f>
        <v>0</v>
      </c>
      <c r="F26" s="56">
        <f>'Por año'!F202</f>
        <v>0</v>
      </c>
      <c r="I26" s="56">
        <f>'Por año'!K183</f>
        <v>0</v>
      </c>
    </row>
    <row r="27" spans="1:9" ht="15.75" customHeight="1">
      <c r="A27" s="56">
        <f>'Por año'!A203</f>
        <v>0</v>
      </c>
      <c r="B27" s="56">
        <f>'Por año'!B203</f>
        <v>0</v>
      </c>
      <c r="C27" s="19">
        <f>'Por año'!C203</f>
        <v>0</v>
      </c>
      <c r="F27" s="56">
        <f>'Por año'!F203</f>
        <v>0</v>
      </c>
      <c r="I27" s="56">
        <f>'Por año'!K184</f>
        <v>0</v>
      </c>
    </row>
    <row r="28" spans="1:9" ht="15.75" customHeight="1">
      <c r="A28" s="56">
        <f>'Por año'!A204</f>
        <v>0</v>
      </c>
      <c r="B28" s="56">
        <f>'Por año'!B204</f>
        <v>0</v>
      </c>
      <c r="C28" s="19">
        <f>'Por año'!C204</f>
        <v>0</v>
      </c>
      <c r="F28" s="56">
        <f>'Por año'!F204</f>
        <v>0</v>
      </c>
      <c r="I28" s="56">
        <f>'Por año'!K185</f>
        <v>0</v>
      </c>
    </row>
    <row r="29" spans="1:9" ht="15.75" customHeight="1">
      <c r="A29" s="56">
        <f>'Por año'!A205</f>
        <v>0</v>
      </c>
      <c r="B29" s="56">
        <f>'Por año'!B205</f>
        <v>0</v>
      </c>
      <c r="C29" s="19">
        <f>'Por año'!C205</f>
        <v>0</v>
      </c>
      <c r="F29" s="56">
        <f>'Por año'!F205</f>
        <v>0</v>
      </c>
      <c r="I29" s="56">
        <f>'Por año'!K186</f>
        <v>0</v>
      </c>
    </row>
    <row r="30" spans="1:9" ht="15.75" customHeight="1">
      <c r="A30" s="56">
        <f>'Por año'!A206</f>
        <v>0</v>
      </c>
      <c r="B30" s="56">
        <f>'Por año'!B206</f>
        <v>0</v>
      </c>
      <c r="C30" s="19">
        <f>'Por año'!C206</f>
        <v>0</v>
      </c>
      <c r="F30" s="56">
        <f>'Por año'!F206</f>
        <v>0</v>
      </c>
      <c r="I30" s="56">
        <f>'Por año'!K187</f>
        <v>0</v>
      </c>
    </row>
    <row r="31" spans="1:9" ht="15.75" customHeight="1">
      <c r="A31" s="56">
        <f>'Por año'!A207</f>
        <v>0</v>
      </c>
      <c r="B31" s="56">
        <f>'Por año'!B207</f>
        <v>0</v>
      </c>
      <c r="C31" s="19">
        <f>'Por año'!C207</f>
        <v>0</v>
      </c>
      <c r="F31" s="56">
        <f>'Por año'!F207</f>
        <v>0</v>
      </c>
      <c r="I31" s="56">
        <f>'Por año'!K188</f>
        <v>0</v>
      </c>
    </row>
    <row r="32" spans="1:9" ht="15.75" customHeight="1">
      <c r="A32" s="56">
        <f>'Por año'!A208</f>
        <v>0</v>
      </c>
      <c r="B32" s="56">
        <f>'Por año'!B208</f>
        <v>0</v>
      </c>
      <c r="C32" s="19">
        <f>'Por año'!C208</f>
        <v>0</v>
      </c>
      <c r="F32" s="56">
        <f>'Por año'!F208</f>
        <v>0</v>
      </c>
      <c r="I32" s="56">
        <f>'Por año'!K189</f>
        <v>0</v>
      </c>
    </row>
    <row r="33" spans="1:9" ht="15.75" customHeight="1">
      <c r="A33" s="56">
        <f>'Por año'!A209</f>
        <v>0</v>
      </c>
      <c r="B33" s="56">
        <f>'Por año'!B209</f>
        <v>0</v>
      </c>
      <c r="C33" s="19">
        <f>'Por año'!C209</f>
        <v>0</v>
      </c>
      <c r="F33" s="56">
        <f>'Por año'!F209</f>
        <v>0</v>
      </c>
      <c r="I33" s="56">
        <f>'Por año'!K190</f>
        <v>0</v>
      </c>
    </row>
    <row r="34" spans="1:9" ht="15.75" customHeight="1">
      <c r="A34" s="56">
        <f>'Por año'!A210</f>
        <v>0</v>
      </c>
      <c r="B34" s="56">
        <f>'Por año'!B210</f>
        <v>0</v>
      </c>
      <c r="C34" s="19">
        <f>'Por año'!C210</f>
        <v>0</v>
      </c>
      <c r="F34" s="56">
        <f>'Por año'!F210</f>
        <v>0</v>
      </c>
      <c r="I34" s="56">
        <f>'Por año'!K191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1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6.4609375" customWidth="1"/>
    <col min="3" max="3" width="3" customWidth="1"/>
    <col min="4" max="4" width="9.61328125" customWidth="1"/>
    <col min="5" max="5" width="6.3828125" customWidth="1"/>
    <col min="6" max="6" width="5.4609375" customWidth="1"/>
    <col min="7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" t="s">
        <v>6</v>
      </c>
      <c r="G1" s="5" t="s">
        <v>7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año'!A23</f>
        <v>24-25</v>
      </c>
      <c r="B2" s="56" t="str">
        <f>'Por año'!B23</f>
        <v>Lengua</v>
      </c>
      <c r="C2" s="19">
        <f>'Por año'!C23</f>
        <v>37</v>
      </c>
      <c r="D2" s="56" t="str">
        <f t="shared" ref="D2:D10" si="0">CONCATENATE(A2,"(",C2,")")</f>
        <v>24-25(37)</v>
      </c>
      <c r="E2" s="20">
        <f>'Por año'!E23</f>
        <v>0.70269999999999999</v>
      </c>
      <c r="F2" s="56">
        <f>'Por año'!F23</f>
        <v>5.37</v>
      </c>
      <c r="G2" s="56">
        <f>'Por año'!G23</f>
        <v>7.16</v>
      </c>
      <c r="H2" s="20">
        <f>'Por año'!H23</f>
        <v>0.83260000000000001</v>
      </c>
      <c r="I2" s="56">
        <f>'Por año'!I23</f>
        <v>6.5</v>
      </c>
    </row>
    <row r="3" spans="1:10" ht="15.75" customHeight="1">
      <c r="A3" s="56" t="str">
        <f>'Por año'!A42</f>
        <v>23-24</v>
      </c>
      <c r="B3" s="56" t="str">
        <f>'Por año'!B42</f>
        <v>Lengua</v>
      </c>
      <c r="C3" s="19">
        <f>'Por año'!C42</f>
        <v>44</v>
      </c>
      <c r="D3" s="56" t="str">
        <f t="shared" si="0"/>
        <v>23-24(44)</v>
      </c>
      <c r="E3" s="20">
        <f>'Por año'!E42</f>
        <v>0.73329999999999995</v>
      </c>
      <c r="F3" s="56">
        <f>'Por año'!F42</f>
        <v>5.66</v>
      </c>
      <c r="G3" s="56">
        <f>'Por año'!G42</f>
        <v>6.73</v>
      </c>
      <c r="H3" s="20">
        <f>'Por año'!H42</f>
        <v>0.8821</v>
      </c>
      <c r="I3" s="56">
        <f>'Por año'!I42</f>
        <v>6.86</v>
      </c>
    </row>
    <row r="4" spans="1:10" ht="15.75" customHeight="1">
      <c r="A4" s="56" t="str">
        <f>'Por año'!A61</f>
        <v>22-23</v>
      </c>
      <c r="B4" s="56" t="str">
        <f>'Por año'!B61</f>
        <v>Lengua</v>
      </c>
      <c r="C4" s="19">
        <f>'Por año'!C61</f>
        <v>43</v>
      </c>
      <c r="D4" s="56" t="str">
        <f t="shared" si="0"/>
        <v>22-23(43)</v>
      </c>
      <c r="E4" s="20">
        <f>'Por año'!E61</f>
        <v>0.71109999999999995</v>
      </c>
      <c r="F4" s="56">
        <f>'Por año'!F61</f>
        <v>5.68</v>
      </c>
      <c r="G4" s="56">
        <f>'Por año'!G61</f>
        <v>7.2</v>
      </c>
      <c r="H4" s="20">
        <f>'Por año'!H61</f>
        <v>0.83779999999999999</v>
      </c>
      <c r="I4" s="56">
        <f>'Por año'!I61</f>
        <v>6.61</v>
      </c>
    </row>
    <row r="5" spans="1:10" ht="15.75" customHeight="1">
      <c r="A5" s="56" t="str">
        <f>'Por año'!A80</f>
        <v>21-22</v>
      </c>
      <c r="B5" s="56" t="str">
        <f>'Por año'!B80</f>
        <v>Lengua</v>
      </c>
      <c r="C5" s="19">
        <f>'Por año'!C80</f>
        <v>48</v>
      </c>
      <c r="D5" s="56" t="str">
        <f t="shared" si="0"/>
        <v>21-22(48)</v>
      </c>
      <c r="E5" s="20">
        <f>'Por año'!E80</f>
        <v>0.67349999999999999</v>
      </c>
      <c r="F5" s="56">
        <f>'Por año'!F80</f>
        <v>6.19</v>
      </c>
      <c r="G5" s="56">
        <f>'Por año'!G80</f>
        <v>6.77</v>
      </c>
      <c r="H5" s="20">
        <f>'Por año'!H80</f>
        <v>0.83730000000000004</v>
      </c>
      <c r="I5" s="56">
        <f>'Por año'!I80</f>
        <v>6.66</v>
      </c>
    </row>
    <row r="6" spans="1:10" ht="15.75" customHeight="1">
      <c r="A6" s="56" t="str">
        <f>'Por año'!A99</f>
        <v>20-21</v>
      </c>
      <c r="B6" s="56" t="str">
        <f>'Por año'!B99</f>
        <v>Lengua</v>
      </c>
      <c r="C6" s="19">
        <f>'Por año'!C99</f>
        <v>49</v>
      </c>
      <c r="D6" s="56" t="str">
        <f t="shared" si="0"/>
        <v>20-21(49)</v>
      </c>
      <c r="E6" s="20">
        <f>'Por año'!E99</f>
        <v>0.70830000000000004</v>
      </c>
      <c r="F6" s="56">
        <f>'Por año'!F99</f>
        <v>5.82</v>
      </c>
      <c r="G6" s="56">
        <f>'Por año'!G99</f>
        <v>6.43</v>
      </c>
      <c r="H6" s="20">
        <f>'Por año'!H99</f>
        <v>0.83320000000000005</v>
      </c>
      <c r="I6" s="56">
        <f>'Por año'!I99</f>
        <v>6.54</v>
      </c>
    </row>
    <row r="7" spans="1:10" ht="15.75" customHeight="1">
      <c r="A7" s="56" t="str">
        <f>'Por año'!A118</f>
        <v>19-20</v>
      </c>
      <c r="B7" s="56" t="str">
        <f>'Por año'!B118</f>
        <v>Lengua</v>
      </c>
      <c r="C7" s="19">
        <f>'Por año'!C118</f>
        <v>50</v>
      </c>
      <c r="D7" s="56" t="str">
        <f t="shared" si="0"/>
        <v>19-20(50)</v>
      </c>
      <c r="E7" s="20">
        <f>'Por año'!E118</f>
        <v>0.62</v>
      </c>
      <c r="F7" s="56">
        <f>'Por año'!F118</f>
        <v>6.1550000000000002</v>
      </c>
      <c r="G7" s="56">
        <f>'Por año'!G118</f>
        <v>7.96</v>
      </c>
      <c r="H7" s="20">
        <f>'Por año'!H118</f>
        <v>0.78600000000000003</v>
      </c>
      <c r="I7" s="56">
        <f>'Por año'!I118</f>
        <v>6.3659999999999997</v>
      </c>
    </row>
    <row r="8" spans="1:10" ht="15.75" customHeight="1">
      <c r="A8" s="56" t="str">
        <f>'Por año'!A137</f>
        <v>18-19</v>
      </c>
      <c r="B8" s="56" t="str">
        <f>'Por año'!B137</f>
        <v>Lengua</v>
      </c>
      <c r="C8" s="19">
        <f>'Por año'!C137</f>
        <v>36</v>
      </c>
      <c r="D8" s="56" t="str">
        <f t="shared" si="0"/>
        <v>18-19(36)</v>
      </c>
      <c r="E8" s="20">
        <f>'Por año'!E137</f>
        <v>0.69440000000000002</v>
      </c>
      <c r="F8" s="56">
        <f>'Por año'!F137</f>
        <v>5.6459999999999999</v>
      </c>
      <c r="G8" s="56">
        <f>'Por año'!G137</f>
        <v>6.53</v>
      </c>
      <c r="H8" s="20">
        <f>'Por año'!H137</f>
        <v>0.80300000000000005</v>
      </c>
      <c r="I8" s="56">
        <f>'Por año'!I137</f>
        <v>6.4340000000000002</v>
      </c>
    </row>
    <row r="9" spans="1:10" ht="15.75" customHeight="1">
      <c r="A9" s="56" t="str">
        <f>'Por año'!A156</f>
        <v>17-18</v>
      </c>
      <c r="B9" s="56" t="str">
        <f>'Por año'!B156</f>
        <v>Lengua</v>
      </c>
      <c r="C9" s="19">
        <f>'Por año'!C156</f>
        <v>31</v>
      </c>
      <c r="D9" s="56" t="str">
        <f t="shared" si="0"/>
        <v>17-18(31)</v>
      </c>
      <c r="E9" s="20">
        <f>'Por año'!E156</f>
        <v>0.5806</v>
      </c>
      <c r="F9" s="56">
        <f>'Por año'!F156</f>
        <v>4.944</v>
      </c>
      <c r="G9" s="56">
        <f>'Por año'!G156</f>
        <v>6.46</v>
      </c>
      <c r="H9" s="20">
        <f>'Por año'!H156</f>
        <v>0.74339999999999995</v>
      </c>
      <c r="I9" s="56">
        <f>'Por año'!I156</f>
        <v>5.9550000000000001</v>
      </c>
    </row>
    <row r="10" spans="1:10" ht="15.75" customHeight="1">
      <c r="A10" s="56" t="str">
        <f>'Por año'!A175</f>
        <v>16-17</v>
      </c>
      <c r="B10" s="56" t="str">
        <f>'Por año'!B175</f>
        <v>Lengua</v>
      </c>
      <c r="C10" s="19">
        <f>'Por año'!C175</f>
        <v>35</v>
      </c>
      <c r="D10" s="56" t="str">
        <f t="shared" si="0"/>
        <v>16-17(35)</v>
      </c>
      <c r="E10" s="20">
        <f>'Por año'!E175</f>
        <v>0.6</v>
      </c>
      <c r="F10" s="56">
        <f>'Por año'!F175</f>
        <v>5.5</v>
      </c>
      <c r="G10" s="56">
        <f>'Por año'!G175</f>
        <v>6.43</v>
      </c>
      <c r="H10" s="20">
        <f>'Por año'!H175</f>
        <v>0.78559999999999997</v>
      </c>
      <c r="I10" s="56">
        <f>'Por año'!I175</f>
        <v>6.165</v>
      </c>
    </row>
    <row r="11" spans="1:10" ht="15.75" customHeight="1">
      <c r="J11" s="56">
        <f>'Por año'!K170</f>
        <v>0</v>
      </c>
    </row>
    <row r="12" spans="1:10" ht="15.75" customHeight="1">
      <c r="A12" s="56">
        <f>'Por año'!A191</f>
        <v>0</v>
      </c>
      <c r="B12" s="56">
        <f>'Por año'!B191</f>
        <v>0</v>
      </c>
      <c r="C12" s="19">
        <f>'Por año'!C191</f>
        <v>0</v>
      </c>
      <c r="E12" s="56">
        <f>'Por año'!E191</f>
        <v>0</v>
      </c>
      <c r="F12" s="56">
        <f>'Por año'!F191</f>
        <v>0</v>
      </c>
      <c r="H12" s="20">
        <f>'Por año'!H191</f>
        <v>0</v>
      </c>
      <c r="I12" s="56">
        <f>'Por año'!I191</f>
        <v>0</v>
      </c>
      <c r="J12" s="56">
        <f>'Por año'!K172</f>
        <v>0</v>
      </c>
    </row>
    <row r="13" spans="1:10" ht="15.75" customHeight="1">
      <c r="A13" s="56">
        <f>'Por año'!A192</f>
        <v>0</v>
      </c>
      <c r="B13" s="56">
        <f>'Por año'!B192</f>
        <v>0</v>
      </c>
      <c r="C13" s="19">
        <f>'Por año'!C192</f>
        <v>0</v>
      </c>
      <c r="E13" s="56">
        <f>'Por año'!E192</f>
        <v>0</v>
      </c>
      <c r="F13" s="56">
        <f>'Por año'!F192</f>
        <v>0</v>
      </c>
      <c r="H13" s="20">
        <f>'Por año'!H192</f>
        <v>0</v>
      </c>
      <c r="I13" s="56">
        <f>'Por año'!I192</f>
        <v>0</v>
      </c>
      <c r="J13" s="56">
        <f>'Por año'!K173</f>
        <v>0</v>
      </c>
    </row>
    <row r="14" spans="1:10" ht="15.75" customHeight="1">
      <c r="A14" s="56">
        <f>'Por año'!A193</f>
        <v>0</v>
      </c>
      <c r="B14" s="56">
        <f>'Por año'!B193</f>
        <v>0</v>
      </c>
      <c r="C14" s="19">
        <f>'Por año'!C193</f>
        <v>0</v>
      </c>
      <c r="E14" s="56">
        <f>'Por año'!E193</f>
        <v>0</v>
      </c>
      <c r="F14" s="56">
        <f>'Por año'!F193</f>
        <v>0</v>
      </c>
      <c r="H14" s="20">
        <f>'Por año'!H193</f>
        <v>0</v>
      </c>
      <c r="I14" s="56">
        <f>'Por año'!I193</f>
        <v>0</v>
      </c>
      <c r="J14" s="56">
        <f>'Por año'!K174</f>
        <v>0</v>
      </c>
    </row>
    <row r="15" spans="1:10" ht="15.75" customHeight="1">
      <c r="A15" s="56">
        <f>'Por año'!A194</f>
        <v>0</v>
      </c>
      <c r="B15" s="56">
        <f>'Por año'!B194</f>
        <v>0</v>
      </c>
      <c r="C15" s="19">
        <f>'Por año'!C194</f>
        <v>0</v>
      </c>
      <c r="E15" s="56">
        <f>'Por año'!E194</f>
        <v>0</v>
      </c>
      <c r="F15" s="56">
        <f>'Por año'!F194</f>
        <v>0</v>
      </c>
      <c r="H15" s="20">
        <f>'Por año'!H194</f>
        <v>0</v>
      </c>
      <c r="I15" s="56">
        <f>'Por año'!I194</f>
        <v>0</v>
      </c>
      <c r="J15" s="56">
        <f>'Por año'!K175</f>
        <v>0</v>
      </c>
    </row>
    <row r="16" spans="1:10" ht="15.75" customHeight="1">
      <c r="A16" s="56">
        <f>'Por año'!A195</f>
        <v>0</v>
      </c>
      <c r="B16" s="56">
        <f>'Por año'!B195</f>
        <v>0</v>
      </c>
      <c r="C16" s="19">
        <f>'Por año'!C195</f>
        <v>0</v>
      </c>
      <c r="E16" s="56">
        <f>'Por año'!E195</f>
        <v>0</v>
      </c>
      <c r="F16" s="56">
        <f>'Por año'!F195</f>
        <v>0</v>
      </c>
      <c r="H16" s="20">
        <f>'Por año'!H195</f>
        <v>0</v>
      </c>
      <c r="I16" s="56">
        <f>'Por año'!I195</f>
        <v>0</v>
      </c>
      <c r="J16" s="56">
        <f>'Por año'!K176</f>
        <v>0</v>
      </c>
    </row>
    <row r="17" spans="1:10" ht="15.75" customHeight="1">
      <c r="A17" s="56">
        <f>'Por año'!A196</f>
        <v>0</v>
      </c>
      <c r="B17" s="56">
        <f>'Por año'!B196</f>
        <v>0</v>
      </c>
      <c r="C17" s="19">
        <f>'Por año'!C196</f>
        <v>0</v>
      </c>
      <c r="E17" s="56">
        <f>'Por año'!E196</f>
        <v>0</v>
      </c>
      <c r="F17" s="56">
        <f>'Por año'!F196</f>
        <v>0</v>
      </c>
      <c r="H17" s="20">
        <f>'Por año'!H196</f>
        <v>0</v>
      </c>
      <c r="I17" s="56">
        <f>'Por año'!I196</f>
        <v>0</v>
      </c>
      <c r="J17" s="56">
        <f>'Por año'!K177</f>
        <v>0</v>
      </c>
    </row>
    <row r="18" spans="1:10" ht="15.75" customHeight="1">
      <c r="A18" s="56">
        <f>'Por año'!A197</f>
        <v>0</v>
      </c>
      <c r="B18" s="56">
        <f>'Por año'!B197</f>
        <v>0</v>
      </c>
      <c r="C18" s="19">
        <f>'Por año'!C197</f>
        <v>0</v>
      </c>
      <c r="E18" s="56">
        <f>'Por año'!E197</f>
        <v>0</v>
      </c>
      <c r="F18" s="56">
        <f>'Por año'!F197</f>
        <v>0</v>
      </c>
      <c r="H18" s="20">
        <f>'Por año'!H197</f>
        <v>0</v>
      </c>
      <c r="I18" s="56">
        <f>'Por año'!I197</f>
        <v>0</v>
      </c>
      <c r="J18" s="56">
        <f>'Por año'!K178</f>
        <v>0</v>
      </c>
    </row>
    <row r="19" spans="1:10" ht="15.75" customHeight="1">
      <c r="A19" s="56">
        <f>'Por año'!A198</f>
        <v>0</v>
      </c>
      <c r="B19" s="56">
        <f>'Por año'!B198</f>
        <v>0</v>
      </c>
      <c r="C19" s="19">
        <f>'Por año'!C198</f>
        <v>0</v>
      </c>
      <c r="E19" s="56">
        <f>'Por año'!E198</f>
        <v>0</v>
      </c>
      <c r="F19" s="56">
        <f>'Por año'!F198</f>
        <v>0</v>
      </c>
      <c r="H19" s="20">
        <f>'Por año'!H198</f>
        <v>0</v>
      </c>
      <c r="I19" s="56">
        <f>'Por año'!I198</f>
        <v>0</v>
      </c>
      <c r="J19" s="56">
        <f>'Por año'!K179</f>
        <v>0</v>
      </c>
    </row>
    <row r="20" spans="1:10" ht="15.75" customHeight="1">
      <c r="A20" s="56">
        <f>'Por año'!A199</f>
        <v>0</v>
      </c>
      <c r="B20" s="56">
        <f>'Por año'!B199</f>
        <v>0</v>
      </c>
      <c r="C20" s="19">
        <f>'Por año'!C199</f>
        <v>0</v>
      </c>
      <c r="E20" s="56">
        <f>'Por año'!E199</f>
        <v>0</v>
      </c>
      <c r="F20" s="56">
        <f>'Por año'!F199</f>
        <v>0</v>
      </c>
      <c r="H20" s="20">
        <f>'Por año'!H199</f>
        <v>0</v>
      </c>
      <c r="I20" s="56">
        <f>'Por año'!I199</f>
        <v>0</v>
      </c>
      <c r="J20" s="56">
        <f>'Por año'!K180</f>
        <v>0</v>
      </c>
    </row>
    <row r="21" spans="1:10" ht="15.75" customHeight="1">
      <c r="A21" s="56">
        <f>'Por año'!A200</f>
        <v>0</v>
      </c>
      <c r="B21" s="56">
        <f>'Por año'!B200</f>
        <v>0</v>
      </c>
      <c r="C21" s="19">
        <f>'Por año'!C200</f>
        <v>0</v>
      </c>
      <c r="E21" s="56">
        <f>'Por año'!E200</f>
        <v>0</v>
      </c>
      <c r="F21" s="56">
        <f>'Por año'!F200</f>
        <v>0</v>
      </c>
      <c r="H21" s="20">
        <f>'Por año'!H200</f>
        <v>0</v>
      </c>
      <c r="I21" s="56">
        <f>'Por año'!I200</f>
        <v>0</v>
      </c>
      <c r="J21" s="56">
        <f>'Por año'!K181</f>
        <v>0</v>
      </c>
    </row>
    <row r="22" spans="1:10" ht="15.75" customHeight="1">
      <c r="A22" s="56">
        <f>'Por año'!A201</f>
        <v>0</v>
      </c>
      <c r="B22" s="56">
        <f>'Por año'!B201</f>
        <v>0</v>
      </c>
      <c r="C22" s="19">
        <f>'Por año'!C201</f>
        <v>0</v>
      </c>
      <c r="E22" s="56">
        <f>'Por año'!E201</f>
        <v>0</v>
      </c>
      <c r="F22" s="56">
        <f>'Por año'!F201</f>
        <v>0</v>
      </c>
      <c r="H22" s="20">
        <f>'Por año'!H201</f>
        <v>0</v>
      </c>
      <c r="I22" s="56">
        <f>'Por año'!I201</f>
        <v>0</v>
      </c>
      <c r="J22" s="56">
        <f>'Por año'!K182</f>
        <v>0</v>
      </c>
    </row>
    <row r="23" spans="1:10" ht="15.75" customHeight="1">
      <c r="A23" s="56">
        <f>'Por año'!A202</f>
        <v>0</v>
      </c>
      <c r="B23" s="56">
        <f>'Por año'!B202</f>
        <v>0</v>
      </c>
      <c r="C23" s="19">
        <f>'Por año'!C202</f>
        <v>0</v>
      </c>
      <c r="E23" s="56">
        <f>'Por año'!E202</f>
        <v>0</v>
      </c>
      <c r="F23" s="56">
        <f>'Por año'!F202</f>
        <v>0</v>
      </c>
      <c r="H23" s="20">
        <f>'Por año'!H202</f>
        <v>0</v>
      </c>
      <c r="I23" s="56">
        <f>'Por año'!I202</f>
        <v>0</v>
      </c>
      <c r="J23" s="56">
        <f>'Por año'!K183</f>
        <v>0</v>
      </c>
    </row>
    <row r="24" spans="1:10" ht="15.75" customHeight="1">
      <c r="A24" s="56">
        <f>'Por año'!A203</f>
        <v>0</v>
      </c>
      <c r="B24" s="56">
        <f>'Por año'!B203</f>
        <v>0</v>
      </c>
      <c r="C24" s="19">
        <f>'Por año'!C203</f>
        <v>0</v>
      </c>
      <c r="E24" s="56">
        <f>'Por año'!E203</f>
        <v>0</v>
      </c>
      <c r="F24" s="56">
        <f>'Por año'!F203</f>
        <v>0</v>
      </c>
      <c r="H24" s="20">
        <f>'Por año'!H203</f>
        <v>0</v>
      </c>
      <c r="I24" s="56">
        <f>'Por año'!I203</f>
        <v>0</v>
      </c>
      <c r="J24" s="56">
        <f>'Por año'!K184</f>
        <v>0</v>
      </c>
    </row>
    <row r="25" spans="1:10" ht="15.75" customHeight="1">
      <c r="A25" s="56">
        <f>'Por año'!A204</f>
        <v>0</v>
      </c>
      <c r="B25" s="56">
        <f>'Por año'!B204</f>
        <v>0</v>
      </c>
      <c r="C25" s="19">
        <f>'Por año'!C204</f>
        <v>0</v>
      </c>
      <c r="E25" s="56">
        <f>'Por año'!E204</f>
        <v>0</v>
      </c>
      <c r="F25" s="56">
        <f>'Por año'!F204</f>
        <v>0</v>
      </c>
      <c r="H25" s="20">
        <f>'Por año'!H204</f>
        <v>0</v>
      </c>
      <c r="I25" s="56">
        <f>'Por año'!I204</f>
        <v>0</v>
      </c>
      <c r="J25" s="56">
        <f>'Por año'!K185</f>
        <v>0</v>
      </c>
    </row>
    <row r="26" spans="1:10" ht="15.75" customHeight="1">
      <c r="A26" s="56">
        <f>'Por año'!A205</f>
        <v>0</v>
      </c>
      <c r="B26" s="56">
        <f>'Por año'!B205</f>
        <v>0</v>
      </c>
      <c r="C26" s="19">
        <f>'Por año'!C205</f>
        <v>0</v>
      </c>
      <c r="E26" s="56">
        <f>'Por año'!E205</f>
        <v>0</v>
      </c>
      <c r="F26" s="56">
        <f>'Por año'!F205</f>
        <v>0</v>
      </c>
      <c r="H26" s="20">
        <f>'Por año'!H205</f>
        <v>0</v>
      </c>
      <c r="I26" s="56">
        <f>'Por año'!I205</f>
        <v>0</v>
      </c>
      <c r="J26" s="56">
        <f>'Por año'!K186</f>
        <v>0</v>
      </c>
    </row>
    <row r="27" spans="1:10" ht="15.75" customHeight="1">
      <c r="A27" s="56">
        <f>'Por año'!A206</f>
        <v>0</v>
      </c>
      <c r="B27" s="56">
        <f>'Por año'!B206</f>
        <v>0</v>
      </c>
      <c r="C27" s="19">
        <f>'Por año'!C206</f>
        <v>0</v>
      </c>
      <c r="E27" s="56">
        <f>'Por año'!E206</f>
        <v>0</v>
      </c>
      <c r="F27" s="56">
        <f>'Por año'!F206</f>
        <v>0</v>
      </c>
      <c r="H27" s="20">
        <f>'Por año'!H206</f>
        <v>0</v>
      </c>
      <c r="I27" s="56">
        <f>'Por año'!I206</f>
        <v>0</v>
      </c>
      <c r="J27" s="56">
        <f>'Por año'!K187</f>
        <v>0</v>
      </c>
    </row>
    <row r="28" spans="1:10" ht="15.75" customHeight="1">
      <c r="A28" s="56">
        <f>'Por año'!A207</f>
        <v>0</v>
      </c>
      <c r="B28" s="56">
        <f>'Por año'!B207</f>
        <v>0</v>
      </c>
      <c r="C28" s="19">
        <f>'Por año'!C207</f>
        <v>0</v>
      </c>
      <c r="E28" s="56">
        <f>'Por año'!E207</f>
        <v>0</v>
      </c>
      <c r="F28" s="56">
        <f>'Por año'!F207</f>
        <v>0</v>
      </c>
      <c r="H28" s="20">
        <f>'Por año'!H207</f>
        <v>0</v>
      </c>
      <c r="I28" s="56">
        <f>'Por año'!I207</f>
        <v>0</v>
      </c>
      <c r="J28" s="56">
        <f>'Por año'!K188</f>
        <v>0</v>
      </c>
    </row>
    <row r="29" spans="1:10" ht="15.75" customHeight="1">
      <c r="A29" s="56">
        <f>'Por año'!A208</f>
        <v>0</v>
      </c>
      <c r="B29" s="56">
        <f>'Por año'!B208</f>
        <v>0</v>
      </c>
      <c r="C29" s="19">
        <f>'Por año'!C208</f>
        <v>0</v>
      </c>
      <c r="E29" s="56">
        <f>'Por año'!E208</f>
        <v>0</v>
      </c>
      <c r="F29" s="56">
        <f>'Por año'!F208</f>
        <v>0</v>
      </c>
      <c r="H29" s="20">
        <f>'Por año'!H208</f>
        <v>0</v>
      </c>
      <c r="I29" s="56">
        <f>'Por año'!I208</f>
        <v>0</v>
      </c>
      <c r="J29" s="56">
        <f>'Por año'!K189</f>
        <v>0</v>
      </c>
    </row>
    <row r="30" spans="1:10" ht="15.75" customHeight="1">
      <c r="A30" s="56">
        <f>'Por año'!A209</f>
        <v>0</v>
      </c>
      <c r="B30" s="56">
        <f>'Por año'!B209</f>
        <v>0</v>
      </c>
      <c r="C30" s="19">
        <f>'Por año'!C209</f>
        <v>0</v>
      </c>
      <c r="E30" s="56">
        <f>'Por año'!E209</f>
        <v>0</v>
      </c>
      <c r="F30" s="56">
        <f>'Por año'!F209</f>
        <v>0</v>
      </c>
      <c r="H30" s="20">
        <f>'Por año'!H209</f>
        <v>0</v>
      </c>
      <c r="I30" s="56">
        <f>'Por año'!I209</f>
        <v>0</v>
      </c>
      <c r="J30" s="56">
        <f>'Por año'!K190</f>
        <v>0</v>
      </c>
    </row>
    <row r="31" spans="1:10" ht="15.75" customHeight="1">
      <c r="A31" s="56">
        <f>'Por año'!A210</f>
        <v>0</v>
      </c>
      <c r="B31" s="56">
        <f>'Por año'!B210</f>
        <v>0</v>
      </c>
      <c r="C31" s="19">
        <f>'Por año'!C210</f>
        <v>0</v>
      </c>
      <c r="E31" s="56">
        <f>'Por año'!E210</f>
        <v>0</v>
      </c>
      <c r="F31" s="56">
        <f>'Por año'!F210</f>
        <v>0</v>
      </c>
      <c r="H31" s="20">
        <f>'Por año'!H210</f>
        <v>0</v>
      </c>
      <c r="I31" s="56">
        <f>'Por año'!I210</f>
        <v>0</v>
      </c>
      <c r="J31" s="56">
        <f>'Por año'!K191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31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6.460937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año'!A24</f>
        <v>24-25</v>
      </c>
      <c r="B2" s="56" t="str">
        <f>'Por año'!B24</f>
        <v>Inglés</v>
      </c>
      <c r="C2" s="19">
        <f>'Por año'!C24</f>
        <v>37</v>
      </c>
      <c r="D2" s="56" t="str">
        <f t="shared" ref="D2:D10" si="0">CONCATENATE(A2,"(",C2,")")</f>
        <v>24-25(37)</v>
      </c>
      <c r="E2" s="20">
        <f>'Por año'!E24</f>
        <v>0.83779999999999999</v>
      </c>
      <c r="F2" s="56">
        <f>'Por año'!F24</f>
        <v>7.01</v>
      </c>
      <c r="G2" s="56">
        <f>'Por año'!G24</f>
        <v>7</v>
      </c>
      <c r="H2" s="20">
        <f>'Por año'!H24</f>
        <v>0.84470000000000001</v>
      </c>
      <c r="I2" s="56">
        <f>'Por año'!I24</f>
        <v>7.15</v>
      </c>
    </row>
    <row r="3" spans="1:10" ht="15.75" customHeight="1">
      <c r="A3" s="56" t="str">
        <f>'Por año'!A43</f>
        <v>23-24</v>
      </c>
      <c r="B3" s="56" t="str">
        <f>'Por año'!B43</f>
        <v>Inglés</v>
      </c>
      <c r="C3" s="19">
        <f>'Por año'!C43</f>
        <v>44</v>
      </c>
      <c r="D3" s="56" t="str">
        <f t="shared" si="0"/>
        <v>23-24(44)</v>
      </c>
      <c r="E3" s="20">
        <f>'Por año'!E43</f>
        <v>0.64439999999999997</v>
      </c>
      <c r="F3" s="56">
        <f>'Por año'!F43</f>
        <v>5.85</v>
      </c>
      <c r="G3" s="56">
        <f>'Por año'!G43</f>
        <v>7</v>
      </c>
      <c r="H3" s="20">
        <f>'Por año'!H43</f>
        <v>0.82310000000000005</v>
      </c>
      <c r="I3" s="56">
        <f>'Por año'!I43</f>
        <v>6.84</v>
      </c>
    </row>
    <row r="4" spans="1:10" ht="15.75" customHeight="1">
      <c r="A4" s="56" t="str">
        <f>'Por año'!A62</f>
        <v>22-23</v>
      </c>
      <c r="B4" s="56" t="str">
        <f>'Por año'!B62</f>
        <v>Inglés</v>
      </c>
      <c r="C4" s="19">
        <f>'Por año'!C62</f>
        <v>43</v>
      </c>
      <c r="D4" s="56" t="str">
        <f t="shared" si="0"/>
        <v>22-23(43)</v>
      </c>
      <c r="E4" s="20">
        <f>'Por año'!E62</f>
        <v>0.75560000000000005</v>
      </c>
      <c r="F4" s="56">
        <f>'Por año'!F62</f>
        <v>6.55</v>
      </c>
      <c r="G4" s="56">
        <f>'Por año'!G62</f>
        <v>6.84</v>
      </c>
      <c r="H4" s="20">
        <f>'Por año'!H62</f>
        <v>0.87129999999999996</v>
      </c>
      <c r="I4" s="56">
        <f>'Por año'!I62</f>
        <v>7.28</v>
      </c>
    </row>
    <row r="5" spans="1:10" ht="15.75" customHeight="1">
      <c r="A5" s="56" t="str">
        <f>'Por año'!A81</f>
        <v>21-22</v>
      </c>
      <c r="B5" s="56" t="str">
        <f>'Por año'!B81</f>
        <v>Inglés</v>
      </c>
      <c r="C5" s="19">
        <f>'Por año'!C81</f>
        <v>48</v>
      </c>
      <c r="D5" s="56" t="str">
        <f t="shared" si="0"/>
        <v>21-22(48)</v>
      </c>
      <c r="E5" s="20">
        <f>'Por año'!E81</f>
        <v>0.59179999999999999</v>
      </c>
      <c r="F5" s="56">
        <f>'Por año'!F81</f>
        <v>5.6</v>
      </c>
      <c r="G5" s="56">
        <f>'Por año'!G81</f>
        <v>7</v>
      </c>
      <c r="H5" s="20">
        <f>'Por año'!H81</f>
        <v>0.75329999999999997</v>
      </c>
      <c r="I5" s="56">
        <f>'Por año'!I81</f>
        <v>6.35</v>
      </c>
    </row>
    <row r="6" spans="1:10" ht="15.75" customHeight="1">
      <c r="A6" s="56" t="str">
        <f>'Por año'!A100</f>
        <v>20-21</v>
      </c>
      <c r="B6" s="56" t="str">
        <f>'Por año'!B100</f>
        <v>Inglés</v>
      </c>
      <c r="C6" s="19">
        <f>'Por año'!C100</f>
        <v>49</v>
      </c>
      <c r="D6" s="56" t="str">
        <f t="shared" si="0"/>
        <v>20-21(49)</v>
      </c>
      <c r="E6" s="20">
        <f>'Por año'!E100</f>
        <v>0.59179999999999999</v>
      </c>
      <c r="F6" s="56">
        <f>'Por año'!F100</f>
        <v>5.28</v>
      </c>
      <c r="G6" s="56">
        <f>'Por año'!G100</f>
        <v>6.51</v>
      </c>
      <c r="H6" s="20">
        <f>'Por año'!H100</f>
        <v>0.77980000000000005</v>
      </c>
      <c r="I6" s="56">
        <f>'Por año'!I100</f>
        <v>6.48</v>
      </c>
    </row>
    <row r="7" spans="1:10" ht="15.75" customHeight="1">
      <c r="A7" s="56" t="str">
        <f>'Por año'!A119</f>
        <v>19-20</v>
      </c>
      <c r="B7" s="56" t="str">
        <f>'Por año'!B119</f>
        <v>Inglés</v>
      </c>
      <c r="C7" s="19">
        <f>'Por año'!C119</f>
        <v>50</v>
      </c>
      <c r="D7" s="56" t="str">
        <f t="shared" si="0"/>
        <v>19-20(50)</v>
      </c>
      <c r="E7" s="20">
        <f>'Por año'!E119</f>
        <v>0.8</v>
      </c>
      <c r="F7" s="56">
        <f>'Por año'!F119</f>
        <v>6.86</v>
      </c>
      <c r="G7" s="56">
        <f>'Por año'!G119</f>
        <v>8.08</v>
      </c>
      <c r="H7" s="20">
        <f>'Por año'!H119</f>
        <v>0.78490000000000004</v>
      </c>
      <c r="I7" s="56">
        <f>'Por año'!I119</f>
        <v>6.7009999999999996</v>
      </c>
    </row>
    <row r="8" spans="1:10" ht="15.75" customHeight="1">
      <c r="A8" s="56" t="str">
        <f>'Por año'!A138</f>
        <v>18-19</v>
      </c>
      <c r="B8" s="56" t="str">
        <f>'Por año'!B138</f>
        <v>Inglés</v>
      </c>
      <c r="C8" s="19">
        <f>'Por año'!C138</f>
        <v>36</v>
      </c>
      <c r="D8" s="56" t="str">
        <f t="shared" si="0"/>
        <v>18-19(36)</v>
      </c>
      <c r="E8" s="20">
        <f>'Por año'!E138</f>
        <v>0.80559999999999998</v>
      </c>
      <c r="F8" s="56">
        <f>'Por año'!F138</f>
        <v>6.4720000000000004</v>
      </c>
      <c r="G8" s="56">
        <f>'Por año'!G138</f>
        <v>6.6</v>
      </c>
      <c r="H8" s="20">
        <f>'Por año'!H138</f>
        <v>0.80449999999999999</v>
      </c>
      <c r="I8" s="56">
        <f>'Por año'!I138</f>
        <v>6.782</v>
      </c>
    </row>
    <row r="9" spans="1:10" ht="15.75" customHeight="1">
      <c r="A9" s="56" t="str">
        <f>'Por año'!A157</f>
        <v>17-18</v>
      </c>
      <c r="B9" s="56" t="str">
        <f>'Por año'!B157</f>
        <v>Inglés</v>
      </c>
      <c r="C9" s="19">
        <f>'Por año'!C157</f>
        <v>31</v>
      </c>
      <c r="D9" s="56" t="str">
        <f t="shared" si="0"/>
        <v>17-18(31)</v>
      </c>
      <c r="E9" s="20">
        <f>'Por año'!E157</f>
        <v>0.7419</v>
      </c>
      <c r="F9" s="56">
        <f>'Por año'!F157</f>
        <v>6.6609999999999996</v>
      </c>
      <c r="G9" s="56">
        <f>'Por año'!G157</f>
        <v>6.62</v>
      </c>
      <c r="H9" s="20">
        <f>'Por año'!H157</f>
        <v>0.77900000000000003</v>
      </c>
      <c r="I9" s="56">
        <f>'Por año'!I157</f>
        <v>6.57</v>
      </c>
    </row>
    <row r="10" spans="1:10" ht="15.75" customHeight="1">
      <c r="A10" s="56" t="str">
        <f>'Por año'!A176</f>
        <v>16-17</v>
      </c>
      <c r="B10" s="56" t="str">
        <f>'Por año'!B176</f>
        <v>Inglés</v>
      </c>
      <c r="C10" s="19">
        <f>'Por año'!C176</f>
        <v>35</v>
      </c>
      <c r="D10" s="56" t="str">
        <f t="shared" si="0"/>
        <v>16-17(35)</v>
      </c>
      <c r="E10" s="20">
        <f>'Por año'!E176</f>
        <v>0.8286</v>
      </c>
      <c r="F10" s="56">
        <f>'Por año'!F176</f>
        <v>6.0430000000000001</v>
      </c>
      <c r="G10" s="56">
        <f>'Por año'!G176</f>
        <v>6.73</v>
      </c>
      <c r="H10" s="20">
        <f>'Por año'!H176</f>
        <v>0.76480000000000004</v>
      </c>
      <c r="I10" s="56">
        <f>'Por año'!I176</f>
        <v>6.5209999999999999</v>
      </c>
    </row>
    <row r="11" spans="1:10" ht="15.75" customHeight="1">
      <c r="I11" s="56">
        <f>'Por año'!I189</f>
        <v>5.97</v>
      </c>
      <c r="J11" s="56">
        <f>'Por año'!K170</f>
        <v>0</v>
      </c>
    </row>
    <row r="12" spans="1:10" ht="15.75" customHeight="1">
      <c r="A12" s="56">
        <f>'Por año'!A191</f>
        <v>0</v>
      </c>
      <c r="B12" s="56">
        <f>'Por año'!B191</f>
        <v>0</v>
      </c>
      <c r="C12" s="19">
        <f>'Por año'!C191</f>
        <v>0</v>
      </c>
      <c r="E12" s="56">
        <f>'Por año'!E191</f>
        <v>0</v>
      </c>
      <c r="F12" s="56">
        <f>'Por año'!F191</f>
        <v>0</v>
      </c>
      <c r="H12" s="20">
        <f>'Por año'!H191</f>
        <v>0</v>
      </c>
      <c r="I12" s="56">
        <f>'Por año'!I191</f>
        <v>0</v>
      </c>
      <c r="J12" s="56">
        <f>'Por año'!K172</f>
        <v>0</v>
      </c>
    </row>
    <row r="13" spans="1:10" ht="15.75" customHeight="1">
      <c r="A13" s="56">
        <f>'Por año'!A192</f>
        <v>0</v>
      </c>
      <c r="B13" s="56">
        <f>'Por año'!B192</f>
        <v>0</v>
      </c>
      <c r="C13" s="19">
        <f>'Por año'!C192</f>
        <v>0</v>
      </c>
      <c r="E13" s="56">
        <f>'Por año'!E192</f>
        <v>0</v>
      </c>
      <c r="F13" s="56">
        <f>'Por año'!F192</f>
        <v>0</v>
      </c>
      <c r="H13" s="20">
        <f>'Por año'!H192</f>
        <v>0</v>
      </c>
      <c r="I13" s="56">
        <f>'Por año'!I192</f>
        <v>0</v>
      </c>
      <c r="J13" s="56">
        <f>'Por año'!K173</f>
        <v>0</v>
      </c>
    </row>
    <row r="14" spans="1:10" ht="15.75" customHeight="1">
      <c r="A14" s="56">
        <f>'Por año'!A193</f>
        <v>0</v>
      </c>
      <c r="B14" s="56">
        <f>'Por año'!B193</f>
        <v>0</v>
      </c>
      <c r="C14" s="19">
        <f>'Por año'!C193</f>
        <v>0</v>
      </c>
      <c r="E14" s="56">
        <f>'Por año'!E193</f>
        <v>0</v>
      </c>
      <c r="F14" s="56">
        <f>'Por año'!F193</f>
        <v>0</v>
      </c>
      <c r="H14" s="20">
        <f>'Por año'!H193</f>
        <v>0</v>
      </c>
      <c r="I14" s="56">
        <f>'Por año'!I193</f>
        <v>0</v>
      </c>
      <c r="J14" s="56">
        <f>'Por año'!K174</f>
        <v>0</v>
      </c>
    </row>
    <row r="15" spans="1:10" ht="15.75" customHeight="1">
      <c r="A15" s="56">
        <f>'Por año'!A194</f>
        <v>0</v>
      </c>
      <c r="B15" s="56">
        <f>'Por año'!B194</f>
        <v>0</v>
      </c>
      <c r="C15" s="19">
        <f>'Por año'!C194</f>
        <v>0</v>
      </c>
      <c r="E15" s="56">
        <f>'Por año'!E194</f>
        <v>0</v>
      </c>
      <c r="F15" s="56">
        <f>'Por año'!F194</f>
        <v>0</v>
      </c>
      <c r="H15" s="20">
        <f>'Por año'!H194</f>
        <v>0</v>
      </c>
      <c r="I15" s="56">
        <f>'Por año'!I194</f>
        <v>0</v>
      </c>
      <c r="J15" s="56">
        <f>'Por año'!K175</f>
        <v>0</v>
      </c>
    </row>
    <row r="16" spans="1:10" ht="15.75" customHeight="1">
      <c r="A16" s="56">
        <f>'Por año'!A195</f>
        <v>0</v>
      </c>
      <c r="B16" s="56">
        <f>'Por año'!B195</f>
        <v>0</v>
      </c>
      <c r="C16" s="19">
        <f>'Por año'!C195</f>
        <v>0</v>
      </c>
      <c r="E16" s="56">
        <f>'Por año'!E195</f>
        <v>0</v>
      </c>
      <c r="F16" s="56">
        <f>'Por año'!F195</f>
        <v>0</v>
      </c>
      <c r="H16" s="20">
        <f>'Por año'!H195</f>
        <v>0</v>
      </c>
      <c r="I16" s="56">
        <f>'Por año'!I195</f>
        <v>0</v>
      </c>
      <c r="J16" s="56">
        <f>'Por año'!K176</f>
        <v>0</v>
      </c>
    </row>
    <row r="17" spans="1:10" ht="15.75" customHeight="1">
      <c r="A17" s="56">
        <f>'Por año'!A196</f>
        <v>0</v>
      </c>
      <c r="B17" s="56">
        <f>'Por año'!B196</f>
        <v>0</v>
      </c>
      <c r="C17" s="19">
        <f>'Por año'!C196</f>
        <v>0</v>
      </c>
      <c r="E17" s="56">
        <f>'Por año'!E196</f>
        <v>0</v>
      </c>
      <c r="F17" s="56">
        <f>'Por año'!F196</f>
        <v>0</v>
      </c>
      <c r="H17" s="20">
        <f>'Por año'!H196</f>
        <v>0</v>
      </c>
      <c r="I17" s="56">
        <f>'Por año'!I196</f>
        <v>0</v>
      </c>
      <c r="J17" s="56">
        <f>'Por año'!K177</f>
        <v>0</v>
      </c>
    </row>
    <row r="18" spans="1:10" ht="15.75" customHeight="1">
      <c r="A18" s="56">
        <f>'Por año'!A197</f>
        <v>0</v>
      </c>
      <c r="B18" s="56">
        <f>'Por año'!B197</f>
        <v>0</v>
      </c>
      <c r="C18" s="19">
        <f>'Por año'!C197</f>
        <v>0</v>
      </c>
      <c r="E18" s="56">
        <f>'Por año'!E197</f>
        <v>0</v>
      </c>
      <c r="F18" s="56">
        <f>'Por año'!F197</f>
        <v>0</v>
      </c>
      <c r="H18" s="20">
        <f>'Por año'!H197</f>
        <v>0</v>
      </c>
      <c r="I18" s="56">
        <f>'Por año'!I197</f>
        <v>0</v>
      </c>
      <c r="J18" s="56">
        <f>'Por año'!K178</f>
        <v>0</v>
      </c>
    </row>
    <row r="19" spans="1:10" ht="15.75" customHeight="1">
      <c r="A19" s="56">
        <f>'Por año'!A198</f>
        <v>0</v>
      </c>
      <c r="B19" s="56">
        <f>'Por año'!B198</f>
        <v>0</v>
      </c>
      <c r="C19" s="19">
        <f>'Por año'!C198</f>
        <v>0</v>
      </c>
      <c r="E19" s="56">
        <f>'Por año'!E198</f>
        <v>0</v>
      </c>
      <c r="F19" s="56">
        <f>'Por año'!F198</f>
        <v>0</v>
      </c>
      <c r="H19" s="20">
        <f>'Por año'!H198</f>
        <v>0</v>
      </c>
      <c r="I19" s="56">
        <f>'Por año'!I198</f>
        <v>0</v>
      </c>
      <c r="J19" s="56">
        <f>'Por año'!K179</f>
        <v>0</v>
      </c>
    </row>
    <row r="20" spans="1:10" ht="15.75" customHeight="1">
      <c r="A20" s="56">
        <f>'Por año'!A199</f>
        <v>0</v>
      </c>
      <c r="B20" s="56">
        <f>'Por año'!B199</f>
        <v>0</v>
      </c>
      <c r="C20" s="19">
        <f>'Por año'!C199</f>
        <v>0</v>
      </c>
      <c r="E20" s="56">
        <f>'Por año'!E199</f>
        <v>0</v>
      </c>
      <c r="F20" s="56">
        <f>'Por año'!F199</f>
        <v>0</v>
      </c>
      <c r="H20" s="20">
        <f>'Por año'!H199</f>
        <v>0</v>
      </c>
      <c r="I20" s="56">
        <f>'Por año'!I199</f>
        <v>0</v>
      </c>
      <c r="J20" s="56">
        <f>'Por año'!K180</f>
        <v>0</v>
      </c>
    </row>
    <row r="21" spans="1:10" ht="15.75" customHeight="1">
      <c r="A21" s="56">
        <f>'Por año'!A200</f>
        <v>0</v>
      </c>
      <c r="B21" s="56">
        <f>'Por año'!B200</f>
        <v>0</v>
      </c>
      <c r="C21" s="19">
        <f>'Por año'!C200</f>
        <v>0</v>
      </c>
      <c r="E21" s="56">
        <f>'Por año'!E200</f>
        <v>0</v>
      </c>
      <c r="F21" s="56">
        <f>'Por año'!F200</f>
        <v>0</v>
      </c>
      <c r="H21" s="20">
        <f>'Por año'!H200</f>
        <v>0</v>
      </c>
      <c r="I21" s="56">
        <f>'Por año'!I200</f>
        <v>0</v>
      </c>
      <c r="J21" s="56">
        <f>'Por año'!K181</f>
        <v>0</v>
      </c>
    </row>
    <row r="22" spans="1:10" ht="15.75" customHeight="1">
      <c r="A22" s="56">
        <f>'Por año'!A201</f>
        <v>0</v>
      </c>
      <c r="B22" s="56">
        <f>'Por año'!B201</f>
        <v>0</v>
      </c>
      <c r="C22" s="19">
        <f>'Por año'!C201</f>
        <v>0</v>
      </c>
      <c r="E22" s="56">
        <f>'Por año'!E201</f>
        <v>0</v>
      </c>
      <c r="F22" s="56">
        <f>'Por año'!F201</f>
        <v>0</v>
      </c>
      <c r="H22" s="20">
        <f>'Por año'!H201</f>
        <v>0</v>
      </c>
      <c r="I22" s="56">
        <f>'Por año'!I201</f>
        <v>0</v>
      </c>
      <c r="J22" s="56">
        <f>'Por año'!K182</f>
        <v>0</v>
      </c>
    </row>
    <row r="23" spans="1:10" ht="15.75" customHeight="1">
      <c r="A23" s="56">
        <f>'Por año'!A202</f>
        <v>0</v>
      </c>
      <c r="B23" s="56">
        <f>'Por año'!B202</f>
        <v>0</v>
      </c>
      <c r="C23" s="19">
        <f>'Por año'!C202</f>
        <v>0</v>
      </c>
      <c r="E23" s="56">
        <f>'Por año'!E202</f>
        <v>0</v>
      </c>
      <c r="F23" s="56">
        <f>'Por año'!F202</f>
        <v>0</v>
      </c>
      <c r="H23" s="20">
        <f>'Por año'!H202</f>
        <v>0</v>
      </c>
      <c r="I23" s="56">
        <f>'Por año'!I202</f>
        <v>0</v>
      </c>
      <c r="J23" s="56">
        <f>'Por año'!K183</f>
        <v>0</v>
      </c>
    </row>
    <row r="24" spans="1:10" ht="15.75" customHeight="1">
      <c r="A24" s="56">
        <f>'Por año'!A203</f>
        <v>0</v>
      </c>
      <c r="B24" s="56">
        <f>'Por año'!B203</f>
        <v>0</v>
      </c>
      <c r="C24" s="19">
        <f>'Por año'!C203</f>
        <v>0</v>
      </c>
      <c r="E24" s="56">
        <f>'Por año'!E203</f>
        <v>0</v>
      </c>
      <c r="F24" s="56">
        <f>'Por año'!F203</f>
        <v>0</v>
      </c>
      <c r="H24" s="20">
        <f>'Por año'!H203</f>
        <v>0</v>
      </c>
      <c r="I24" s="56">
        <f>'Por año'!I203</f>
        <v>0</v>
      </c>
      <c r="J24" s="56">
        <f>'Por año'!K184</f>
        <v>0</v>
      </c>
    </row>
    <row r="25" spans="1:10" ht="15.75" customHeight="1">
      <c r="A25" s="56">
        <f>'Por año'!A204</f>
        <v>0</v>
      </c>
      <c r="B25" s="56">
        <f>'Por año'!B204</f>
        <v>0</v>
      </c>
      <c r="C25" s="19">
        <f>'Por año'!C204</f>
        <v>0</v>
      </c>
      <c r="E25" s="56">
        <f>'Por año'!E204</f>
        <v>0</v>
      </c>
      <c r="F25" s="56">
        <f>'Por año'!F204</f>
        <v>0</v>
      </c>
      <c r="H25" s="20">
        <f>'Por año'!H204</f>
        <v>0</v>
      </c>
      <c r="I25" s="56">
        <f>'Por año'!I204</f>
        <v>0</v>
      </c>
      <c r="J25" s="56">
        <f>'Por año'!K185</f>
        <v>0</v>
      </c>
    </row>
    <row r="26" spans="1:10" ht="15.75" customHeight="1">
      <c r="A26" s="56">
        <f>'Por año'!A205</f>
        <v>0</v>
      </c>
      <c r="B26" s="56">
        <f>'Por año'!B205</f>
        <v>0</v>
      </c>
      <c r="C26" s="19">
        <f>'Por año'!C205</f>
        <v>0</v>
      </c>
      <c r="E26" s="56">
        <f>'Por año'!E205</f>
        <v>0</v>
      </c>
      <c r="F26" s="56">
        <f>'Por año'!F205</f>
        <v>0</v>
      </c>
      <c r="H26" s="20">
        <f>'Por año'!H205</f>
        <v>0</v>
      </c>
      <c r="I26" s="56">
        <f>'Por año'!I205</f>
        <v>0</v>
      </c>
      <c r="J26" s="56">
        <f>'Por año'!K186</f>
        <v>0</v>
      </c>
    </row>
    <row r="27" spans="1:10" ht="15.75" customHeight="1">
      <c r="A27" s="56">
        <f>'Por año'!A206</f>
        <v>0</v>
      </c>
      <c r="B27" s="56">
        <f>'Por año'!B206</f>
        <v>0</v>
      </c>
      <c r="C27" s="19">
        <f>'Por año'!C206</f>
        <v>0</v>
      </c>
      <c r="E27" s="56">
        <f>'Por año'!E206</f>
        <v>0</v>
      </c>
      <c r="F27" s="56">
        <f>'Por año'!F206</f>
        <v>0</v>
      </c>
      <c r="H27" s="20">
        <f>'Por año'!H206</f>
        <v>0</v>
      </c>
      <c r="I27" s="56">
        <f>'Por año'!I206</f>
        <v>0</v>
      </c>
      <c r="J27" s="56">
        <f>'Por año'!K187</f>
        <v>0</v>
      </c>
    </row>
    <row r="28" spans="1:10" ht="15.75" customHeight="1">
      <c r="A28" s="56">
        <f>'Por año'!A207</f>
        <v>0</v>
      </c>
      <c r="B28" s="56">
        <f>'Por año'!B207</f>
        <v>0</v>
      </c>
      <c r="C28" s="19">
        <f>'Por año'!C207</f>
        <v>0</v>
      </c>
      <c r="E28" s="56">
        <f>'Por año'!E207</f>
        <v>0</v>
      </c>
      <c r="F28" s="56">
        <f>'Por año'!F207</f>
        <v>0</v>
      </c>
      <c r="H28" s="20">
        <f>'Por año'!H207</f>
        <v>0</v>
      </c>
      <c r="I28" s="56">
        <f>'Por año'!I207</f>
        <v>0</v>
      </c>
      <c r="J28" s="56">
        <f>'Por año'!K188</f>
        <v>0</v>
      </c>
    </row>
    <row r="29" spans="1:10" ht="15.75" customHeight="1">
      <c r="A29" s="56">
        <f>'Por año'!A208</f>
        <v>0</v>
      </c>
      <c r="B29" s="56">
        <f>'Por año'!B208</f>
        <v>0</v>
      </c>
      <c r="C29" s="19">
        <f>'Por año'!C208</f>
        <v>0</v>
      </c>
      <c r="E29" s="56">
        <f>'Por año'!E208</f>
        <v>0</v>
      </c>
      <c r="F29" s="56">
        <f>'Por año'!F208</f>
        <v>0</v>
      </c>
      <c r="H29" s="20">
        <f>'Por año'!H208</f>
        <v>0</v>
      </c>
      <c r="I29" s="56">
        <f>'Por año'!I208</f>
        <v>0</v>
      </c>
      <c r="J29" s="56">
        <f>'Por año'!K189</f>
        <v>0</v>
      </c>
    </row>
    <row r="30" spans="1:10" ht="15.75" customHeight="1">
      <c r="A30" s="56">
        <f>'Por año'!A209</f>
        <v>0</v>
      </c>
      <c r="B30" s="56">
        <f>'Por año'!B209</f>
        <v>0</v>
      </c>
      <c r="C30" s="19">
        <f>'Por año'!C209</f>
        <v>0</v>
      </c>
      <c r="E30" s="56">
        <f>'Por año'!E209</f>
        <v>0</v>
      </c>
      <c r="F30" s="56">
        <f>'Por año'!F209</f>
        <v>0</v>
      </c>
      <c r="H30" s="20">
        <f>'Por año'!H209</f>
        <v>0</v>
      </c>
      <c r="I30" s="56">
        <f>'Por año'!I209</f>
        <v>0</v>
      </c>
      <c r="J30" s="56">
        <f>'Por año'!K190</f>
        <v>0</v>
      </c>
    </row>
    <row r="31" spans="1:10" ht="15.75" customHeight="1">
      <c r="A31" s="56">
        <f>'Por año'!A210</f>
        <v>0</v>
      </c>
      <c r="B31" s="56">
        <f>'Por año'!B210</f>
        <v>0</v>
      </c>
      <c r="C31" s="19">
        <f>'Por año'!C210</f>
        <v>0</v>
      </c>
      <c r="E31" s="56">
        <f>'Por año'!E210</f>
        <v>0</v>
      </c>
      <c r="F31" s="56">
        <f>'Por año'!F210</f>
        <v>0</v>
      </c>
      <c r="H31" s="20">
        <f>'Por año'!H210</f>
        <v>0</v>
      </c>
      <c r="I31" s="56">
        <f>'Por año'!I210</f>
        <v>0</v>
      </c>
      <c r="J31" s="56">
        <f>'Por año'!K191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31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6.460937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año'!A25</f>
        <v>24-25</v>
      </c>
      <c r="B2" s="56" t="str">
        <f>'Por año'!B25</f>
        <v>Historia</v>
      </c>
      <c r="C2" s="19">
        <f>'Por año'!C25</f>
        <v>9</v>
      </c>
      <c r="D2" s="56" t="str">
        <f t="shared" ref="D2:D10" si="0">CONCATENATE(A2,"(",C2,")")</f>
        <v>24-25(9)</v>
      </c>
      <c r="E2" s="20">
        <f>'Por año'!E25</f>
        <v>0.66669999999999996</v>
      </c>
      <c r="F2" s="56">
        <f>'Por año'!F25</f>
        <v>5.89</v>
      </c>
      <c r="G2" s="56">
        <f>'Por año'!G25</f>
        <v>6.59</v>
      </c>
      <c r="H2" s="20">
        <f>'Por año'!H25</f>
        <v>0.82440000000000002</v>
      </c>
      <c r="I2" s="56">
        <f>'Por año'!I25</f>
        <v>6.91</v>
      </c>
    </row>
    <row r="3" spans="1:10" ht="15.75" customHeight="1">
      <c r="A3" s="56" t="str">
        <f>'Por año'!A44</f>
        <v>23-24</v>
      </c>
      <c r="B3" s="56" t="str">
        <f>'Por año'!B44</f>
        <v>Historia</v>
      </c>
      <c r="C3" s="19">
        <f>'Por año'!C44</f>
        <v>18</v>
      </c>
      <c r="D3" s="56" t="str">
        <f t="shared" si="0"/>
        <v>23-24(18)</v>
      </c>
      <c r="E3" s="20">
        <f>'Por año'!E44</f>
        <v>0.57889999999999997</v>
      </c>
      <c r="F3" s="56">
        <f>'Por año'!F44</f>
        <v>5.55</v>
      </c>
      <c r="G3" s="56">
        <f>'Por año'!G44</f>
        <v>6.92</v>
      </c>
      <c r="H3" s="20">
        <f>'Por año'!H44</f>
        <v>0.78639999999999999</v>
      </c>
      <c r="I3" s="56">
        <f>'Por año'!I44</f>
        <v>6.68</v>
      </c>
    </row>
    <row r="4" spans="1:10" ht="15.75" customHeight="1">
      <c r="A4" s="56" t="str">
        <f>'Por año'!A63</f>
        <v>22-23</v>
      </c>
      <c r="B4" s="56" t="str">
        <f>'Por año'!B63</f>
        <v>Historia</v>
      </c>
      <c r="C4" s="19">
        <f>'Por año'!C63</f>
        <v>43</v>
      </c>
      <c r="D4" s="56" t="str">
        <f t="shared" si="0"/>
        <v>22-23(43)</v>
      </c>
      <c r="E4" s="20">
        <f>'Por año'!E63</f>
        <v>0.71109999999999995</v>
      </c>
      <c r="F4" s="56">
        <f>'Por año'!F63</f>
        <v>6.31</v>
      </c>
      <c r="G4" s="56">
        <f>'Por año'!G63</f>
        <v>7.3</v>
      </c>
      <c r="H4" s="20">
        <f>'Por año'!H63</f>
        <v>0.79890000000000005</v>
      </c>
      <c r="I4" s="56">
        <f>'Por año'!I63</f>
        <v>6.73</v>
      </c>
    </row>
    <row r="5" spans="1:10" ht="15.75" customHeight="1">
      <c r="A5" s="56" t="str">
        <f>'Por año'!A82</f>
        <v>21-22</v>
      </c>
      <c r="B5" s="56" t="str">
        <f>'Por año'!B82</f>
        <v>Historia</v>
      </c>
      <c r="C5" s="19">
        <f>'Por año'!C82</f>
        <v>48</v>
      </c>
      <c r="D5" s="56" t="str">
        <f t="shared" si="0"/>
        <v>21-22(48)</v>
      </c>
      <c r="E5" s="20">
        <f>'Por año'!E82</f>
        <v>0.65310000000000001</v>
      </c>
      <c r="F5" s="56">
        <f>'Por año'!F82</f>
        <v>5.89</v>
      </c>
      <c r="G5" s="56">
        <f>'Por año'!G82</f>
        <v>7.3</v>
      </c>
      <c r="H5" s="20">
        <f>'Por año'!H82</f>
        <v>0.74660000000000004</v>
      </c>
      <c r="I5" s="56">
        <f>'Por año'!I82</f>
        <v>6.49</v>
      </c>
    </row>
    <row r="6" spans="1:10" ht="15.75" customHeight="1">
      <c r="A6" s="56" t="str">
        <f>'Por año'!A101</f>
        <v>20-21</v>
      </c>
      <c r="B6" s="56" t="str">
        <f>'Por año'!B101</f>
        <v>Historia</v>
      </c>
      <c r="C6" s="19">
        <f>'Por año'!C101</f>
        <v>49</v>
      </c>
      <c r="D6" s="56" t="str">
        <f t="shared" si="0"/>
        <v>20-21(49)</v>
      </c>
      <c r="E6" s="20">
        <f>'Por año'!E101</f>
        <v>0.67349999999999999</v>
      </c>
      <c r="F6" s="56">
        <f>'Por año'!F101</f>
        <v>5.97</v>
      </c>
      <c r="G6" s="56">
        <f>'Por año'!G101</f>
        <v>6.94</v>
      </c>
      <c r="H6" s="20">
        <f>'Por año'!H101</f>
        <v>0.76919999999999999</v>
      </c>
      <c r="I6" s="56">
        <f>'Por año'!I101</f>
        <v>6.61</v>
      </c>
    </row>
    <row r="7" spans="1:10" ht="15.75" customHeight="1">
      <c r="A7" s="56" t="str">
        <f>'Por año'!A120</f>
        <v>19-20</v>
      </c>
      <c r="B7" s="56" t="str">
        <f>'Por año'!B120</f>
        <v>Historia</v>
      </c>
      <c r="C7" s="19">
        <f>'Por año'!C120</f>
        <v>50</v>
      </c>
      <c r="D7" s="56" t="str">
        <f t="shared" si="0"/>
        <v>19-20(50)</v>
      </c>
      <c r="E7" s="20">
        <f>'Por año'!E120</f>
        <v>0.6</v>
      </c>
      <c r="F7" s="56">
        <f>'Por año'!F120</f>
        <v>5.64</v>
      </c>
      <c r="G7" s="56">
        <f>'Por año'!G120</f>
        <v>8.33</v>
      </c>
      <c r="H7" s="20">
        <f>'Por año'!H120</f>
        <v>0.69810000000000005</v>
      </c>
      <c r="I7" s="56">
        <f>'Por año'!I120</f>
        <v>6.0890000000000004</v>
      </c>
    </row>
    <row r="8" spans="1:10" ht="15.75" customHeight="1">
      <c r="A8" s="56" t="str">
        <f>'Por año'!A139</f>
        <v>18-19</v>
      </c>
      <c r="B8" s="56" t="str">
        <f>'Por año'!B139</f>
        <v>Historia</v>
      </c>
      <c r="C8" s="19">
        <f>'Por año'!C139</f>
        <v>36</v>
      </c>
      <c r="D8" s="56" t="str">
        <f t="shared" si="0"/>
        <v>18-19(36)</v>
      </c>
      <c r="E8" s="20">
        <f>'Por año'!E139</f>
        <v>0.58330000000000004</v>
      </c>
      <c r="F8" s="56">
        <f>'Por año'!F139</f>
        <v>5.819</v>
      </c>
      <c r="G8" s="56">
        <f>'Por año'!G139</f>
        <v>7.07</v>
      </c>
      <c r="H8" s="20">
        <f>'Por año'!H139</f>
        <v>0.64149999999999996</v>
      </c>
      <c r="I8" s="56">
        <f>'Por año'!I139</f>
        <v>5.7519999999999998</v>
      </c>
    </row>
    <row r="9" spans="1:10" ht="15.75" customHeight="1">
      <c r="A9" s="56" t="str">
        <f>'Por año'!A158</f>
        <v>17-18</v>
      </c>
      <c r="B9" s="56" t="str">
        <f>'Por año'!B158</f>
        <v>Historia</v>
      </c>
      <c r="C9" s="19">
        <f>'Por año'!C158</f>
        <v>31</v>
      </c>
      <c r="D9" s="56" t="str">
        <f t="shared" si="0"/>
        <v>17-18(31)</v>
      </c>
      <c r="E9" s="20">
        <f>'Por año'!E158</f>
        <v>0.7097</v>
      </c>
      <c r="F9" s="56">
        <f>'Por año'!F158</f>
        <v>5.6609999999999996</v>
      </c>
      <c r="G9" s="56">
        <f>'Por año'!G158</f>
        <v>7.15</v>
      </c>
      <c r="H9" s="20">
        <f>'Por año'!H158</f>
        <v>0.6754</v>
      </c>
      <c r="I9" s="56">
        <f>'Por año'!I158</f>
        <v>5.88</v>
      </c>
    </row>
    <row r="10" spans="1:10" ht="15.75" customHeight="1">
      <c r="A10" s="56" t="str">
        <f>'Por año'!A177</f>
        <v>16-17</v>
      </c>
      <c r="B10" s="56" t="str">
        <f>'Por año'!B177</f>
        <v>Historia</v>
      </c>
      <c r="C10" s="19">
        <f>'Por año'!C177</f>
        <v>35</v>
      </c>
      <c r="D10" s="56" t="str">
        <f t="shared" si="0"/>
        <v>16-17(35)</v>
      </c>
      <c r="E10" s="20">
        <f>'Por año'!E177</f>
        <v>0.65710000000000002</v>
      </c>
      <c r="F10" s="56">
        <f>'Por año'!F177</f>
        <v>5.4210000000000003</v>
      </c>
      <c r="G10" s="56">
        <f>'Por año'!G177</f>
        <v>6.95</v>
      </c>
      <c r="H10" s="20">
        <f>'Por año'!H177</f>
        <v>0.63880000000000003</v>
      </c>
      <c r="I10" s="56">
        <f>'Por año'!I177</f>
        <v>5.6420000000000003</v>
      </c>
    </row>
    <row r="11" spans="1:10" ht="15.75" customHeight="1">
      <c r="H11" s="20">
        <f>'Por año'!H189</f>
        <v>0.88959999999999995</v>
      </c>
      <c r="I11" s="56">
        <f>'Por año'!I189</f>
        <v>5.97</v>
      </c>
      <c r="J11" s="56">
        <f>'Por año'!K170</f>
        <v>0</v>
      </c>
    </row>
    <row r="12" spans="1:10" ht="15.75" customHeight="1">
      <c r="A12" s="56">
        <f>'Por año'!A191</f>
        <v>0</v>
      </c>
      <c r="B12" s="56">
        <f>'Por año'!B191</f>
        <v>0</v>
      </c>
      <c r="C12" s="19">
        <f>'Por año'!C191</f>
        <v>0</v>
      </c>
      <c r="E12" s="56">
        <f>'Por año'!E191</f>
        <v>0</v>
      </c>
      <c r="F12" s="56">
        <f>'Por año'!F191</f>
        <v>0</v>
      </c>
      <c r="H12" s="20">
        <f>'Por año'!H191</f>
        <v>0</v>
      </c>
      <c r="I12" s="56">
        <f>'Por año'!I191</f>
        <v>0</v>
      </c>
      <c r="J12" s="56">
        <f>'Por año'!K172</f>
        <v>0</v>
      </c>
    </row>
    <row r="13" spans="1:10" ht="15.75" customHeight="1">
      <c r="A13" s="56">
        <f>'Por año'!A192</f>
        <v>0</v>
      </c>
      <c r="B13" s="56">
        <f>'Por año'!B192</f>
        <v>0</v>
      </c>
      <c r="C13" s="19">
        <f>'Por año'!C192</f>
        <v>0</v>
      </c>
      <c r="E13" s="56">
        <f>'Por año'!E192</f>
        <v>0</v>
      </c>
      <c r="F13" s="56">
        <f>'Por año'!F192</f>
        <v>0</v>
      </c>
      <c r="H13" s="20">
        <f>'Por año'!H192</f>
        <v>0</v>
      </c>
      <c r="I13" s="56">
        <f>'Por año'!I192</f>
        <v>0</v>
      </c>
      <c r="J13" s="56">
        <f>'Por año'!K173</f>
        <v>0</v>
      </c>
    </row>
    <row r="14" spans="1:10" ht="15.75" customHeight="1">
      <c r="A14" s="56">
        <f>'Por año'!A193</f>
        <v>0</v>
      </c>
      <c r="B14" s="56">
        <f>'Por año'!B193</f>
        <v>0</v>
      </c>
      <c r="C14" s="19">
        <f>'Por año'!C193</f>
        <v>0</v>
      </c>
      <c r="E14" s="56">
        <f>'Por año'!E193</f>
        <v>0</v>
      </c>
      <c r="F14" s="56">
        <f>'Por año'!F193</f>
        <v>0</v>
      </c>
      <c r="H14" s="20">
        <f>'Por año'!H193</f>
        <v>0</v>
      </c>
      <c r="I14" s="56">
        <f>'Por año'!I193</f>
        <v>0</v>
      </c>
      <c r="J14" s="56">
        <f>'Por año'!K174</f>
        <v>0</v>
      </c>
    </row>
    <row r="15" spans="1:10" ht="15.75" customHeight="1">
      <c r="A15" s="56">
        <f>'Por año'!A194</f>
        <v>0</v>
      </c>
      <c r="B15" s="56">
        <f>'Por año'!B194</f>
        <v>0</v>
      </c>
      <c r="C15" s="19">
        <f>'Por año'!C194</f>
        <v>0</v>
      </c>
      <c r="E15" s="56">
        <f>'Por año'!E194</f>
        <v>0</v>
      </c>
      <c r="F15" s="56">
        <f>'Por año'!F194</f>
        <v>0</v>
      </c>
      <c r="H15" s="20">
        <f>'Por año'!H194</f>
        <v>0</v>
      </c>
      <c r="I15" s="56">
        <f>'Por año'!I194</f>
        <v>0</v>
      </c>
      <c r="J15" s="56">
        <f>'Por año'!K175</f>
        <v>0</v>
      </c>
    </row>
    <row r="16" spans="1:10" ht="15.75" customHeight="1">
      <c r="A16" s="56">
        <f>'Por año'!A195</f>
        <v>0</v>
      </c>
      <c r="B16" s="56">
        <f>'Por año'!B195</f>
        <v>0</v>
      </c>
      <c r="C16" s="19">
        <f>'Por año'!C195</f>
        <v>0</v>
      </c>
      <c r="E16" s="56">
        <f>'Por año'!E195</f>
        <v>0</v>
      </c>
      <c r="F16" s="56">
        <f>'Por año'!F195</f>
        <v>0</v>
      </c>
      <c r="H16" s="20">
        <f>'Por año'!H195</f>
        <v>0</v>
      </c>
      <c r="I16" s="56">
        <f>'Por año'!I195</f>
        <v>0</v>
      </c>
      <c r="J16" s="56">
        <f>'Por año'!K176</f>
        <v>0</v>
      </c>
    </row>
    <row r="17" spans="1:10" ht="15.75" customHeight="1">
      <c r="A17" s="56">
        <f>'Por año'!A196</f>
        <v>0</v>
      </c>
      <c r="B17" s="56">
        <f>'Por año'!B196</f>
        <v>0</v>
      </c>
      <c r="C17" s="19">
        <f>'Por año'!C196</f>
        <v>0</v>
      </c>
      <c r="E17" s="56">
        <f>'Por año'!E196</f>
        <v>0</v>
      </c>
      <c r="F17" s="56">
        <f>'Por año'!F196</f>
        <v>0</v>
      </c>
      <c r="H17" s="20">
        <f>'Por año'!H196</f>
        <v>0</v>
      </c>
      <c r="I17" s="56">
        <f>'Por año'!I196</f>
        <v>0</v>
      </c>
      <c r="J17" s="56">
        <f>'Por año'!K177</f>
        <v>0</v>
      </c>
    </row>
    <row r="18" spans="1:10" ht="15.75" customHeight="1">
      <c r="A18" s="56">
        <f>'Por año'!A197</f>
        <v>0</v>
      </c>
      <c r="B18" s="56">
        <f>'Por año'!B197</f>
        <v>0</v>
      </c>
      <c r="C18" s="19">
        <f>'Por año'!C197</f>
        <v>0</v>
      </c>
      <c r="E18" s="56">
        <f>'Por año'!E197</f>
        <v>0</v>
      </c>
      <c r="F18" s="56">
        <f>'Por año'!F197</f>
        <v>0</v>
      </c>
      <c r="H18" s="20">
        <f>'Por año'!H197</f>
        <v>0</v>
      </c>
      <c r="I18" s="56">
        <f>'Por año'!I197</f>
        <v>0</v>
      </c>
      <c r="J18" s="56">
        <f>'Por año'!K178</f>
        <v>0</v>
      </c>
    </row>
    <row r="19" spans="1:10" ht="15.75" customHeight="1">
      <c r="A19" s="56">
        <f>'Por año'!A198</f>
        <v>0</v>
      </c>
      <c r="B19" s="56">
        <f>'Por año'!B198</f>
        <v>0</v>
      </c>
      <c r="C19" s="19">
        <f>'Por año'!C198</f>
        <v>0</v>
      </c>
      <c r="E19" s="56">
        <f>'Por año'!E198</f>
        <v>0</v>
      </c>
      <c r="F19" s="56">
        <f>'Por año'!F198</f>
        <v>0</v>
      </c>
      <c r="H19" s="20">
        <f>'Por año'!H198</f>
        <v>0</v>
      </c>
      <c r="I19" s="56">
        <f>'Por año'!I198</f>
        <v>0</v>
      </c>
      <c r="J19" s="56">
        <f>'Por año'!K179</f>
        <v>0</v>
      </c>
    </row>
    <row r="20" spans="1:10" ht="15.75" customHeight="1">
      <c r="A20" s="56">
        <f>'Por año'!A199</f>
        <v>0</v>
      </c>
      <c r="B20" s="56">
        <f>'Por año'!B199</f>
        <v>0</v>
      </c>
      <c r="C20" s="19">
        <f>'Por año'!C199</f>
        <v>0</v>
      </c>
      <c r="E20" s="56">
        <f>'Por año'!E199</f>
        <v>0</v>
      </c>
      <c r="F20" s="56">
        <f>'Por año'!F199</f>
        <v>0</v>
      </c>
      <c r="H20" s="20">
        <f>'Por año'!H199</f>
        <v>0</v>
      </c>
      <c r="I20" s="56">
        <f>'Por año'!I199</f>
        <v>0</v>
      </c>
      <c r="J20" s="56">
        <f>'Por año'!K180</f>
        <v>0</v>
      </c>
    </row>
    <row r="21" spans="1:10" ht="15.75" customHeight="1">
      <c r="A21" s="56">
        <f>'Por año'!A200</f>
        <v>0</v>
      </c>
      <c r="B21" s="56">
        <f>'Por año'!B200</f>
        <v>0</v>
      </c>
      <c r="C21" s="19">
        <f>'Por año'!C200</f>
        <v>0</v>
      </c>
      <c r="E21" s="56">
        <f>'Por año'!E200</f>
        <v>0</v>
      </c>
      <c r="F21" s="56">
        <f>'Por año'!F200</f>
        <v>0</v>
      </c>
      <c r="H21" s="20">
        <f>'Por año'!H200</f>
        <v>0</v>
      </c>
      <c r="I21" s="56">
        <f>'Por año'!I200</f>
        <v>0</v>
      </c>
      <c r="J21" s="56">
        <f>'Por año'!K181</f>
        <v>0</v>
      </c>
    </row>
    <row r="22" spans="1:10" ht="15.75" customHeight="1">
      <c r="A22" s="56">
        <f>'Por año'!A201</f>
        <v>0</v>
      </c>
      <c r="B22" s="56">
        <f>'Por año'!B201</f>
        <v>0</v>
      </c>
      <c r="C22" s="19">
        <f>'Por año'!C201</f>
        <v>0</v>
      </c>
      <c r="E22" s="56">
        <f>'Por año'!E201</f>
        <v>0</v>
      </c>
      <c r="F22" s="56">
        <f>'Por año'!F201</f>
        <v>0</v>
      </c>
      <c r="H22" s="20">
        <f>'Por año'!H201</f>
        <v>0</v>
      </c>
      <c r="I22" s="56">
        <f>'Por año'!I201</f>
        <v>0</v>
      </c>
      <c r="J22" s="56">
        <f>'Por año'!K182</f>
        <v>0</v>
      </c>
    </row>
    <row r="23" spans="1:10" ht="15.75" customHeight="1">
      <c r="A23" s="56">
        <f>'Por año'!A202</f>
        <v>0</v>
      </c>
      <c r="B23" s="56">
        <f>'Por año'!B202</f>
        <v>0</v>
      </c>
      <c r="C23" s="19">
        <f>'Por año'!C202</f>
        <v>0</v>
      </c>
      <c r="E23" s="56">
        <f>'Por año'!E202</f>
        <v>0</v>
      </c>
      <c r="F23" s="56">
        <f>'Por año'!F202</f>
        <v>0</v>
      </c>
      <c r="H23" s="20">
        <f>'Por año'!H202</f>
        <v>0</v>
      </c>
      <c r="I23" s="56">
        <f>'Por año'!I202</f>
        <v>0</v>
      </c>
      <c r="J23" s="56">
        <f>'Por año'!K183</f>
        <v>0</v>
      </c>
    </row>
    <row r="24" spans="1:10" ht="15.75" customHeight="1">
      <c r="A24" s="56">
        <f>'Por año'!A203</f>
        <v>0</v>
      </c>
      <c r="B24" s="56">
        <f>'Por año'!B203</f>
        <v>0</v>
      </c>
      <c r="C24" s="19">
        <f>'Por año'!C203</f>
        <v>0</v>
      </c>
      <c r="E24" s="56">
        <f>'Por año'!E203</f>
        <v>0</v>
      </c>
      <c r="F24" s="56">
        <f>'Por año'!F203</f>
        <v>0</v>
      </c>
      <c r="H24" s="20">
        <f>'Por año'!H203</f>
        <v>0</v>
      </c>
      <c r="I24" s="56">
        <f>'Por año'!I203</f>
        <v>0</v>
      </c>
      <c r="J24" s="56">
        <f>'Por año'!K184</f>
        <v>0</v>
      </c>
    </row>
    <row r="25" spans="1:10" ht="15.75" customHeight="1">
      <c r="A25" s="56">
        <f>'Por año'!A204</f>
        <v>0</v>
      </c>
      <c r="B25" s="56">
        <f>'Por año'!B204</f>
        <v>0</v>
      </c>
      <c r="C25" s="19">
        <f>'Por año'!C204</f>
        <v>0</v>
      </c>
      <c r="E25" s="56">
        <f>'Por año'!E204</f>
        <v>0</v>
      </c>
      <c r="F25" s="56">
        <f>'Por año'!F204</f>
        <v>0</v>
      </c>
      <c r="H25" s="20">
        <f>'Por año'!H204</f>
        <v>0</v>
      </c>
      <c r="I25" s="56">
        <f>'Por año'!I204</f>
        <v>0</v>
      </c>
      <c r="J25" s="56">
        <f>'Por año'!K185</f>
        <v>0</v>
      </c>
    </row>
    <row r="26" spans="1:10" ht="15.75" customHeight="1">
      <c r="A26" s="56">
        <f>'Por año'!A205</f>
        <v>0</v>
      </c>
      <c r="B26" s="56">
        <f>'Por año'!B205</f>
        <v>0</v>
      </c>
      <c r="C26" s="19">
        <f>'Por año'!C205</f>
        <v>0</v>
      </c>
      <c r="E26" s="56">
        <f>'Por año'!E205</f>
        <v>0</v>
      </c>
      <c r="F26" s="56">
        <f>'Por año'!F205</f>
        <v>0</v>
      </c>
      <c r="H26" s="20">
        <f>'Por año'!H205</f>
        <v>0</v>
      </c>
      <c r="I26" s="56">
        <f>'Por año'!I205</f>
        <v>0</v>
      </c>
      <c r="J26" s="56">
        <f>'Por año'!K186</f>
        <v>0</v>
      </c>
    </row>
    <row r="27" spans="1:10" ht="15.75" customHeight="1">
      <c r="A27" s="56">
        <f>'Por año'!A206</f>
        <v>0</v>
      </c>
      <c r="B27" s="56">
        <f>'Por año'!B206</f>
        <v>0</v>
      </c>
      <c r="C27" s="19">
        <f>'Por año'!C206</f>
        <v>0</v>
      </c>
      <c r="E27" s="56">
        <f>'Por año'!E206</f>
        <v>0</v>
      </c>
      <c r="F27" s="56">
        <f>'Por año'!F206</f>
        <v>0</v>
      </c>
      <c r="H27" s="20">
        <f>'Por año'!H206</f>
        <v>0</v>
      </c>
      <c r="I27" s="56">
        <f>'Por año'!I206</f>
        <v>0</v>
      </c>
      <c r="J27" s="56">
        <f>'Por año'!K187</f>
        <v>0</v>
      </c>
    </row>
    <row r="28" spans="1:10" ht="15.75" customHeight="1">
      <c r="A28" s="56">
        <f>'Por año'!A207</f>
        <v>0</v>
      </c>
      <c r="B28" s="56">
        <f>'Por año'!B207</f>
        <v>0</v>
      </c>
      <c r="C28" s="19">
        <f>'Por año'!C207</f>
        <v>0</v>
      </c>
      <c r="E28" s="56">
        <f>'Por año'!E207</f>
        <v>0</v>
      </c>
      <c r="F28" s="56">
        <f>'Por año'!F207</f>
        <v>0</v>
      </c>
      <c r="H28" s="20">
        <f>'Por año'!H207</f>
        <v>0</v>
      </c>
      <c r="I28" s="56">
        <f>'Por año'!I207</f>
        <v>0</v>
      </c>
      <c r="J28" s="56">
        <f>'Por año'!K188</f>
        <v>0</v>
      </c>
    </row>
    <row r="29" spans="1:10" ht="15.75" customHeight="1">
      <c r="A29" s="56">
        <f>'Por año'!A208</f>
        <v>0</v>
      </c>
      <c r="B29" s="56">
        <f>'Por año'!B208</f>
        <v>0</v>
      </c>
      <c r="C29" s="19">
        <f>'Por año'!C208</f>
        <v>0</v>
      </c>
      <c r="E29" s="56">
        <f>'Por año'!E208</f>
        <v>0</v>
      </c>
      <c r="F29" s="56">
        <f>'Por año'!F208</f>
        <v>0</v>
      </c>
      <c r="H29" s="20">
        <f>'Por año'!H208</f>
        <v>0</v>
      </c>
      <c r="I29" s="56">
        <f>'Por año'!I208</f>
        <v>0</v>
      </c>
      <c r="J29" s="56">
        <f>'Por año'!K189</f>
        <v>0</v>
      </c>
    </row>
    <row r="30" spans="1:10" ht="15.75" customHeight="1">
      <c r="A30" s="56">
        <f>'Por año'!A209</f>
        <v>0</v>
      </c>
      <c r="B30" s="56">
        <f>'Por año'!B209</f>
        <v>0</v>
      </c>
      <c r="C30" s="19">
        <f>'Por año'!C209</f>
        <v>0</v>
      </c>
      <c r="E30" s="56">
        <f>'Por año'!E209</f>
        <v>0</v>
      </c>
      <c r="F30" s="56">
        <f>'Por año'!F209</f>
        <v>0</v>
      </c>
      <c r="H30" s="20">
        <f>'Por año'!H209</f>
        <v>0</v>
      </c>
      <c r="I30" s="56">
        <f>'Por año'!I209</f>
        <v>0</v>
      </c>
      <c r="J30" s="56">
        <f>'Por año'!K190</f>
        <v>0</v>
      </c>
    </row>
    <row r="31" spans="1:10" ht="15.75" customHeight="1">
      <c r="A31" s="56">
        <f>'Por año'!A210</f>
        <v>0</v>
      </c>
      <c r="B31" s="56">
        <f>'Por año'!B210</f>
        <v>0</v>
      </c>
      <c r="C31" s="19">
        <f>'Por año'!C210</f>
        <v>0</v>
      </c>
      <c r="E31" s="56">
        <f>'Por año'!E210</f>
        <v>0</v>
      </c>
      <c r="F31" s="56">
        <f>'Por año'!F210</f>
        <v>0</v>
      </c>
      <c r="H31" s="20">
        <f>'Por año'!H210</f>
        <v>0</v>
      </c>
      <c r="I31" s="56">
        <f>'Por año'!I210</f>
        <v>0</v>
      </c>
      <c r="J31" s="56">
        <f>'Por año'!K191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1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6.460937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año'!A26</f>
        <v>24-25</v>
      </c>
      <c r="B2" s="56" t="str">
        <f>'Por año'!B26</f>
        <v>Mate</v>
      </c>
      <c r="C2" s="19">
        <f>'Por año'!C26</f>
        <v>30</v>
      </c>
      <c r="D2" s="56" t="str">
        <f t="shared" ref="D2:D10" si="0">CONCATENATE(A2,"(",C2,")")</f>
        <v>24-25(30)</v>
      </c>
      <c r="E2" s="20">
        <f>'Por año'!E26</f>
        <v>0.63329999999999997</v>
      </c>
      <c r="F2" s="56">
        <f>'Por año'!F26</f>
        <v>5.19</v>
      </c>
      <c r="G2" s="56">
        <f>'Por año'!G26</f>
        <v>7</v>
      </c>
      <c r="H2" s="20">
        <f>'Por año'!H26</f>
        <v>0.59409999999999996</v>
      </c>
      <c r="I2" s="56">
        <f>'Por año'!I26</f>
        <v>5.47</v>
      </c>
    </row>
    <row r="3" spans="1:10" ht="15.75" customHeight="1">
      <c r="A3" s="56" t="str">
        <f>'Por año'!A45</f>
        <v>23-24</v>
      </c>
      <c r="B3" s="56" t="str">
        <f>'Por año'!B45</f>
        <v>Mate</v>
      </c>
      <c r="C3" s="19">
        <f>'Por año'!C45</f>
        <v>35</v>
      </c>
      <c r="D3" s="56" t="str">
        <f t="shared" si="0"/>
        <v>23-24(35)</v>
      </c>
      <c r="E3" s="20">
        <f>'Por año'!E45</f>
        <v>0.69440000000000002</v>
      </c>
      <c r="F3" s="56">
        <f>'Por año'!F45</f>
        <v>5.87</v>
      </c>
      <c r="G3" s="56">
        <f>'Por año'!G45</f>
        <v>6.62</v>
      </c>
      <c r="H3" s="20">
        <f>'Por año'!H45</f>
        <v>0.68220000000000003</v>
      </c>
      <c r="I3" s="56">
        <f>'Por año'!I45</f>
        <v>5.8</v>
      </c>
    </row>
    <row r="4" spans="1:10" ht="15.75" customHeight="1">
      <c r="A4" s="56" t="str">
        <f>'Por año'!A64</f>
        <v>22-23</v>
      </c>
      <c r="B4" s="56" t="str">
        <f>'Por año'!B64</f>
        <v>Mate</v>
      </c>
      <c r="C4" s="19">
        <f>'Por año'!C64</f>
        <v>25</v>
      </c>
      <c r="D4" s="56" t="str">
        <f t="shared" si="0"/>
        <v>22-23(25)</v>
      </c>
      <c r="E4" s="20">
        <f>'Por año'!E64</f>
        <v>0.85189999999999999</v>
      </c>
      <c r="F4" s="56">
        <f>'Por año'!F64</f>
        <v>6.78</v>
      </c>
      <c r="G4" s="56">
        <f>'Por año'!G64</f>
        <v>6.92</v>
      </c>
      <c r="H4" s="20">
        <f>'Por año'!H64</f>
        <v>0.75990000000000002</v>
      </c>
      <c r="I4" s="56">
        <f>'Por año'!I64</f>
        <v>6.48</v>
      </c>
    </row>
    <row r="5" spans="1:10" ht="15.75" customHeight="1">
      <c r="A5" s="56" t="str">
        <f>'Por año'!A83</f>
        <v>21-22</v>
      </c>
      <c r="B5" s="56" t="str">
        <f>'Por año'!B83</f>
        <v>Mate</v>
      </c>
      <c r="C5" s="19">
        <f>'Por año'!C83</f>
        <v>28</v>
      </c>
      <c r="D5" s="56" t="str">
        <f t="shared" si="0"/>
        <v>21-22(28)</v>
      </c>
      <c r="E5" s="20">
        <f>'Por año'!E83</f>
        <v>0.89659999999999995</v>
      </c>
      <c r="F5" s="56">
        <f>'Por año'!F83</f>
        <v>7.47</v>
      </c>
      <c r="G5" s="56">
        <f>'Por año'!G83</f>
        <v>7.21</v>
      </c>
      <c r="H5" s="20">
        <f>'Por año'!H83</f>
        <v>0.81340000000000001</v>
      </c>
      <c r="I5" s="56">
        <f>'Por año'!I83</f>
        <v>6.74</v>
      </c>
    </row>
    <row r="6" spans="1:10" ht="15.75" customHeight="1">
      <c r="A6" s="56" t="str">
        <f>'Por año'!A102</f>
        <v>20-21</v>
      </c>
      <c r="B6" s="56" t="str">
        <f>'Por año'!B102</f>
        <v>Mate</v>
      </c>
      <c r="C6" s="19">
        <f>'Por año'!C102</f>
        <v>31</v>
      </c>
      <c r="D6" s="56" t="str">
        <f t="shared" si="0"/>
        <v>20-21(31)</v>
      </c>
      <c r="E6" s="20">
        <f>'Por año'!E102</f>
        <v>0.80649999999999999</v>
      </c>
      <c r="F6" s="56">
        <f>'Por año'!F102</f>
        <v>6.31</v>
      </c>
      <c r="G6" s="56">
        <f>'Por año'!G102</f>
        <v>6.81</v>
      </c>
      <c r="H6" s="20">
        <f>'Por año'!H102</f>
        <v>0.71540000000000004</v>
      </c>
      <c r="I6" s="56">
        <f>'Por año'!I102</f>
        <v>6.15</v>
      </c>
    </row>
    <row r="7" spans="1:10" ht="15.75" customHeight="1">
      <c r="A7" s="56" t="str">
        <f>'Por año'!A121</f>
        <v>19-20</v>
      </c>
      <c r="B7" s="56" t="str">
        <f>'Por año'!B121</f>
        <v>Mate</v>
      </c>
      <c r="C7" s="19">
        <f>'Por año'!C121</f>
        <v>31</v>
      </c>
      <c r="D7" s="56" t="str">
        <f t="shared" si="0"/>
        <v>19-20(31)</v>
      </c>
      <c r="E7" s="20">
        <f>'Por año'!E121</f>
        <v>0.8387</v>
      </c>
      <c r="F7" s="56">
        <f>'Por año'!F121</f>
        <v>7.556</v>
      </c>
      <c r="G7" s="56">
        <f>'Por año'!G121</f>
        <v>7.6</v>
      </c>
      <c r="H7" s="20">
        <f>'Por año'!H121</f>
        <v>0.76070000000000004</v>
      </c>
      <c r="I7" s="56">
        <f>'Por año'!I121</f>
        <v>6.6559999999999997</v>
      </c>
      <c r="J7" s="19">
        <f>'Por año'!K102</f>
        <v>0</v>
      </c>
    </row>
    <row r="8" spans="1:10" ht="15.75" customHeight="1">
      <c r="A8" s="56" t="str">
        <f>'Por año'!A140</f>
        <v>18-19</v>
      </c>
      <c r="B8" s="56" t="str">
        <f>'Por año'!B140</f>
        <v>Mate</v>
      </c>
      <c r="C8" s="19">
        <f>'Por año'!C140</f>
        <v>17</v>
      </c>
      <c r="D8" s="56" t="str">
        <f t="shared" si="0"/>
        <v>18-19(17)</v>
      </c>
      <c r="E8" s="20">
        <f>'Por año'!E140</f>
        <v>0.88239999999999996</v>
      </c>
      <c r="F8" s="62">
        <f>'Por año'!F140</f>
        <v>6.8680000000000003</v>
      </c>
      <c r="G8" s="62">
        <f>'Por año'!G140</f>
        <v>7.38</v>
      </c>
      <c r="H8" s="20">
        <f>'Por año'!H140</f>
        <v>0.73660000000000003</v>
      </c>
      <c r="I8" s="56">
        <f>'Por año'!I140</f>
        <v>6.2439999999999998</v>
      </c>
      <c r="J8" s="56">
        <f>'Por año'!K121</f>
        <v>0</v>
      </c>
    </row>
    <row r="9" spans="1:10" ht="15.75" customHeight="1">
      <c r="A9" s="56" t="str">
        <f>'Por año'!A159</f>
        <v>17-18</v>
      </c>
      <c r="B9" s="56" t="str">
        <f>'Por año'!B159</f>
        <v>Mate</v>
      </c>
      <c r="C9" s="19">
        <f>'Por año'!C159</f>
        <v>18</v>
      </c>
      <c r="D9" s="56" t="str">
        <f t="shared" si="0"/>
        <v>17-18(18)</v>
      </c>
      <c r="E9" s="20">
        <f>'Por año'!E159</f>
        <v>0.38890000000000002</v>
      </c>
      <c r="F9" s="62">
        <f>'Por año'!F159</f>
        <v>5.0419999999999998</v>
      </c>
      <c r="G9" s="62">
        <f>'Por año'!G159</f>
        <v>6.78</v>
      </c>
      <c r="H9" s="20">
        <f>'Por año'!H159</f>
        <v>0.66449999999999998</v>
      </c>
      <c r="I9" s="56">
        <f>'Por año'!I159</f>
        <v>5.7009999999999996</v>
      </c>
      <c r="J9" s="56">
        <f>'Por año'!K140</f>
        <v>0</v>
      </c>
    </row>
    <row r="10" spans="1:10" ht="15.75" customHeight="1">
      <c r="A10" s="56" t="str">
        <f>'Por año'!A178</f>
        <v>16-17</v>
      </c>
      <c r="B10" s="56" t="str">
        <f>'Por año'!B178</f>
        <v>Mate</v>
      </c>
      <c r="C10" s="19">
        <f>'Por año'!C178</f>
        <v>20</v>
      </c>
      <c r="D10" s="56" t="str">
        <f t="shared" si="0"/>
        <v>16-17(20)</v>
      </c>
      <c r="E10" s="20">
        <f>'Por año'!E178</f>
        <v>0.8</v>
      </c>
      <c r="F10" s="62">
        <f>'Por año'!F178</f>
        <v>6.9119999999999999</v>
      </c>
      <c r="G10" s="62">
        <f>'Por año'!G178</f>
        <v>7</v>
      </c>
      <c r="H10" s="20">
        <f>'Por año'!H178</f>
        <v>0.76019999999999999</v>
      </c>
      <c r="I10" s="56">
        <f>'Por año'!I178</f>
        <v>6.4980000000000002</v>
      </c>
      <c r="J10" s="56">
        <f>'Por año'!K159</f>
        <v>0</v>
      </c>
    </row>
    <row r="12" spans="1:10" ht="15.75" customHeight="1">
      <c r="A12" s="56">
        <f>'Por año'!A191</f>
        <v>0</v>
      </c>
      <c r="B12" s="56">
        <f>'Por año'!B191</f>
        <v>0</v>
      </c>
      <c r="C12" s="19">
        <f>'Por año'!C191</f>
        <v>0</v>
      </c>
      <c r="E12" s="56">
        <f>'Por año'!E191</f>
        <v>0</v>
      </c>
      <c r="F12" s="56">
        <f>'Por año'!F191</f>
        <v>0</v>
      </c>
      <c r="H12" s="20">
        <f>'Por año'!H191</f>
        <v>0</v>
      </c>
      <c r="I12" s="56">
        <f>'Por año'!I191</f>
        <v>0</v>
      </c>
      <c r="J12" s="56">
        <f>'Por año'!K172</f>
        <v>0</v>
      </c>
    </row>
    <row r="13" spans="1:10" ht="15.75" customHeight="1">
      <c r="A13" s="56">
        <f>'Por año'!A192</f>
        <v>0</v>
      </c>
      <c r="B13" s="56">
        <f>'Por año'!B192</f>
        <v>0</v>
      </c>
      <c r="C13" s="19">
        <f>'Por año'!C192</f>
        <v>0</v>
      </c>
      <c r="E13" s="56">
        <f>'Por año'!E192</f>
        <v>0</v>
      </c>
      <c r="F13" s="56">
        <f>'Por año'!F192</f>
        <v>0</v>
      </c>
      <c r="H13" s="20">
        <f>'Por año'!H192</f>
        <v>0</v>
      </c>
      <c r="I13" s="56">
        <f>'Por año'!I192</f>
        <v>0</v>
      </c>
      <c r="J13" s="56">
        <f>'Por año'!K173</f>
        <v>0</v>
      </c>
    </row>
    <row r="14" spans="1:10" ht="15.75" customHeight="1">
      <c r="A14" s="56">
        <f>'Por año'!A193</f>
        <v>0</v>
      </c>
      <c r="B14" s="56">
        <f>'Por año'!B193</f>
        <v>0</v>
      </c>
      <c r="C14" s="19">
        <f>'Por año'!C193</f>
        <v>0</v>
      </c>
      <c r="E14" s="56">
        <f>'Por año'!E193</f>
        <v>0</v>
      </c>
      <c r="F14" s="56">
        <f>'Por año'!F193</f>
        <v>0</v>
      </c>
      <c r="H14" s="20">
        <f>'Por año'!H193</f>
        <v>0</v>
      </c>
      <c r="I14" s="56">
        <f>'Por año'!I193</f>
        <v>0</v>
      </c>
      <c r="J14" s="56">
        <f>'Por año'!K174</f>
        <v>0</v>
      </c>
    </row>
    <row r="15" spans="1:10" ht="15.75" customHeight="1">
      <c r="A15" s="56">
        <f>'Por año'!A194</f>
        <v>0</v>
      </c>
      <c r="B15" s="56">
        <f>'Por año'!B194</f>
        <v>0</v>
      </c>
      <c r="C15" s="19">
        <f>'Por año'!C194</f>
        <v>0</v>
      </c>
      <c r="E15" s="56">
        <f>'Por año'!E194</f>
        <v>0</v>
      </c>
      <c r="F15" s="56">
        <f>'Por año'!F194</f>
        <v>0</v>
      </c>
      <c r="H15" s="20">
        <f>'Por año'!H194</f>
        <v>0</v>
      </c>
      <c r="I15" s="56">
        <f>'Por año'!I194</f>
        <v>0</v>
      </c>
      <c r="J15" s="56">
        <f>'Por año'!K175</f>
        <v>0</v>
      </c>
    </row>
    <row r="16" spans="1:10" ht="15.75" customHeight="1">
      <c r="A16" s="56">
        <f>'Por año'!A195</f>
        <v>0</v>
      </c>
      <c r="B16" s="56">
        <f>'Por año'!B195</f>
        <v>0</v>
      </c>
      <c r="C16" s="19">
        <f>'Por año'!C195</f>
        <v>0</v>
      </c>
      <c r="E16" s="56">
        <f>'Por año'!E195</f>
        <v>0</v>
      </c>
      <c r="F16" s="56">
        <f>'Por año'!F195</f>
        <v>0</v>
      </c>
      <c r="H16" s="20">
        <f>'Por año'!H195</f>
        <v>0</v>
      </c>
      <c r="I16" s="56">
        <f>'Por año'!I195</f>
        <v>0</v>
      </c>
      <c r="J16" s="56">
        <f>'Por año'!K176</f>
        <v>0</v>
      </c>
    </row>
    <row r="17" spans="1:10" ht="15.75" customHeight="1">
      <c r="A17" s="56">
        <f>'Por año'!A196</f>
        <v>0</v>
      </c>
      <c r="B17" s="56">
        <f>'Por año'!B196</f>
        <v>0</v>
      </c>
      <c r="C17" s="19">
        <f>'Por año'!C196</f>
        <v>0</v>
      </c>
      <c r="E17" s="56">
        <f>'Por año'!E196</f>
        <v>0</v>
      </c>
      <c r="F17" s="56">
        <f>'Por año'!F196</f>
        <v>0</v>
      </c>
      <c r="H17" s="20">
        <f>'Por año'!H196</f>
        <v>0</v>
      </c>
      <c r="I17" s="56">
        <f>'Por año'!I196</f>
        <v>0</v>
      </c>
      <c r="J17" s="56">
        <f>'Por año'!K177</f>
        <v>0</v>
      </c>
    </row>
    <row r="18" spans="1:10" ht="15.75" customHeight="1">
      <c r="A18" s="56">
        <f>'Por año'!A197</f>
        <v>0</v>
      </c>
      <c r="B18" s="56">
        <f>'Por año'!B197</f>
        <v>0</v>
      </c>
      <c r="C18" s="19">
        <f>'Por año'!C197</f>
        <v>0</v>
      </c>
      <c r="E18" s="56">
        <f>'Por año'!E197</f>
        <v>0</v>
      </c>
      <c r="F18" s="56">
        <f>'Por año'!F197</f>
        <v>0</v>
      </c>
      <c r="H18" s="20">
        <f>'Por año'!H197</f>
        <v>0</v>
      </c>
      <c r="I18" s="56">
        <f>'Por año'!I197</f>
        <v>0</v>
      </c>
      <c r="J18" s="56">
        <f>'Por año'!K178</f>
        <v>0</v>
      </c>
    </row>
    <row r="19" spans="1:10" ht="15.75" customHeight="1">
      <c r="A19" s="56">
        <f>'Por año'!A198</f>
        <v>0</v>
      </c>
      <c r="B19" s="56">
        <f>'Por año'!B198</f>
        <v>0</v>
      </c>
      <c r="C19" s="19">
        <f>'Por año'!C198</f>
        <v>0</v>
      </c>
      <c r="E19" s="56">
        <f>'Por año'!E198</f>
        <v>0</v>
      </c>
      <c r="F19" s="56">
        <f>'Por año'!F198</f>
        <v>0</v>
      </c>
      <c r="H19" s="20">
        <f>'Por año'!H198</f>
        <v>0</v>
      </c>
      <c r="I19" s="56">
        <f>'Por año'!I198</f>
        <v>0</v>
      </c>
      <c r="J19" s="56">
        <f>'Por año'!K179</f>
        <v>0</v>
      </c>
    </row>
    <row r="20" spans="1:10" ht="15.75" customHeight="1">
      <c r="A20" s="56">
        <f>'Por año'!A199</f>
        <v>0</v>
      </c>
      <c r="B20" s="56">
        <f>'Por año'!B199</f>
        <v>0</v>
      </c>
      <c r="C20" s="19">
        <f>'Por año'!C199</f>
        <v>0</v>
      </c>
      <c r="E20" s="56">
        <f>'Por año'!E199</f>
        <v>0</v>
      </c>
      <c r="F20" s="56">
        <f>'Por año'!F199</f>
        <v>0</v>
      </c>
      <c r="H20" s="20">
        <f>'Por año'!H199</f>
        <v>0</v>
      </c>
      <c r="I20" s="56">
        <f>'Por año'!I199</f>
        <v>0</v>
      </c>
      <c r="J20" s="56">
        <f>'Por año'!K180</f>
        <v>0</v>
      </c>
    </row>
    <row r="21" spans="1:10" ht="15.75" customHeight="1">
      <c r="A21" s="56">
        <f>'Por año'!A200</f>
        <v>0</v>
      </c>
      <c r="B21" s="56">
        <f>'Por año'!B200</f>
        <v>0</v>
      </c>
      <c r="C21" s="19">
        <f>'Por año'!C200</f>
        <v>0</v>
      </c>
      <c r="E21" s="56">
        <f>'Por año'!E200</f>
        <v>0</v>
      </c>
      <c r="F21" s="56">
        <f>'Por año'!F200</f>
        <v>0</v>
      </c>
      <c r="H21" s="20">
        <f>'Por año'!H200</f>
        <v>0</v>
      </c>
      <c r="I21" s="56">
        <f>'Por año'!I200</f>
        <v>0</v>
      </c>
      <c r="J21" s="56">
        <f>'Por año'!K181</f>
        <v>0</v>
      </c>
    </row>
    <row r="22" spans="1:10" ht="15.75" customHeight="1">
      <c r="A22" s="56">
        <f>'Por año'!A201</f>
        <v>0</v>
      </c>
      <c r="B22" s="56">
        <f>'Por año'!B201</f>
        <v>0</v>
      </c>
      <c r="C22" s="19">
        <f>'Por año'!C201</f>
        <v>0</v>
      </c>
      <c r="E22" s="56">
        <f>'Por año'!E201</f>
        <v>0</v>
      </c>
      <c r="F22" s="56">
        <f>'Por año'!F201</f>
        <v>0</v>
      </c>
      <c r="H22" s="20">
        <f>'Por año'!H201</f>
        <v>0</v>
      </c>
      <c r="I22" s="56">
        <f>'Por año'!I201</f>
        <v>0</v>
      </c>
      <c r="J22" s="56">
        <f>'Por año'!K182</f>
        <v>0</v>
      </c>
    </row>
    <row r="23" spans="1:10" ht="15.75" customHeight="1">
      <c r="A23" s="56">
        <f>'Por año'!A202</f>
        <v>0</v>
      </c>
      <c r="B23" s="56">
        <f>'Por año'!B202</f>
        <v>0</v>
      </c>
      <c r="C23" s="19">
        <f>'Por año'!C202</f>
        <v>0</v>
      </c>
      <c r="E23" s="56">
        <f>'Por año'!E202</f>
        <v>0</v>
      </c>
      <c r="F23" s="56">
        <f>'Por año'!F202</f>
        <v>0</v>
      </c>
      <c r="H23" s="20">
        <f>'Por año'!H202</f>
        <v>0</v>
      </c>
      <c r="I23" s="56">
        <f>'Por año'!I202</f>
        <v>0</v>
      </c>
      <c r="J23" s="56">
        <f>'Por año'!K183</f>
        <v>0</v>
      </c>
    </row>
    <row r="24" spans="1:10" ht="15.75" customHeight="1">
      <c r="A24" s="56">
        <f>'Por año'!A203</f>
        <v>0</v>
      </c>
      <c r="B24" s="56">
        <f>'Por año'!B203</f>
        <v>0</v>
      </c>
      <c r="C24" s="19">
        <f>'Por año'!C203</f>
        <v>0</v>
      </c>
      <c r="E24" s="56">
        <f>'Por año'!E203</f>
        <v>0</v>
      </c>
      <c r="F24" s="56">
        <f>'Por año'!F203</f>
        <v>0</v>
      </c>
      <c r="H24" s="20">
        <f>'Por año'!H203</f>
        <v>0</v>
      </c>
      <c r="I24" s="56">
        <f>'Por año'!I203</f>
        <v>0</v>
      </c>
      <c r="J24" s="56">
        <f>'Por año'!K184</f>
        <v>0</v>
      </c>
    </row>
    <row r="25" spans="1:10" ht="15.75" customHeight="1">
      <c r="A25" s="56">
        <f>'Por año'!A204</f>
        <v>0</v>
      </c>
      <c r="B25" s="56">
        <f>'Por año'!B204</f>
        <v>0</v>
      </c>
      <c r="C25" s="19">
        <f>'Por año'!C204</f>
        <v>0</v>
      </c>
      <c r="E25" s="56">
        <f>'Por año'!E204</f>
        <v>0</v>
      </c>
      <c r="F25" s="56">
        <f>'Por año'!F204</f>
        <v>0</v>
      </c>
      <c r="H25" s="20">
        <f>'Por año'!H204</f>
        <v>0</v>
      </c>
      <c r="I25" s="56">
        <f>'Por año'!I204</f>
        <v>0</v>
      </c>
      <c r="J25" s="56">
        <f>'Por año'!K185</f>
        <v>0</v>
      </c>
    </row>
    <row r="26" spans="1:10" ht="15.75" customHeight="1">
      <c r="A26" s="56">
        <f>'Por año'!A205</f>
        <v>0</v>
      </c>
      <c r="B26" s="56">
        <f>'Por año'!B205</f>
        <v>0</v>
      </c>
      <c r="C26" s="19">
        <f>'Por año'!C205</f>
        <v>0</v>
      </c>
      <c r="E26" s="56">
        <f>'Por año'!E205</f>
        <v>0</v>
      </c>
      <c r="F26" s="56">
        <f>'Por año'!F205</f>
        <v>0</v>
      </c>
      <c r="H26" s="20">
        <f>'Por año'!H205</f>
        <v>0</v>
      </c>
      <c r="I26" s="56">
        <f>'Por año'!I205</f>
        <v>0</v>
      </c>
      <c r="J26" s="56">
        <f>'Por año'!K186</f>
        <v>0</v>
      </c>
    </row>
    <row r="27" spans="1:10" ht="15.75" customHeight="1">
      <c r="A27" s="56">
        <f>'Por año'!A206</f>
        <v>0</v>
      </c>
      <c r="B27" s="56">
        <f>'Por año'!B206</f>
        <v>0</v>
      </c>
      <c r="C27" s="19">
        <f>'Por año'!C206</f>
        <v>0</v>
      </c>
      <c r="E27" s="56">
        <f>'Por año'!E206</f>
        <v>0</v>
      </c>
      <c r="F27" s="56">
        <f>'Por año'!F206</f>
        <v>0</v>
      </c>
      <c r="H27" s="20">
        <f>'Por año'!H206</f>
        <v>0</v>
      </c>
      <c r="I27" s="56">
        <f>'Por año'!I206</f>
        <v>0</v>
      </c>
      <c r="J27" s="56">
        <f>'Por año'!K187</f>
        <v>0</v>
      </c>
    </row>
    <row r="28" spans="1:10" ht="15.75" customHeight="1">
      <c r="A28" s="56">
        <f>'Por año'!A207</f>
        <v>0</v>
      </c>
      <c r="B28" s="56">
        <f>'Por año'!B207</f>
        <v>0</v>
      </c>
      <c r="C28" s="19">
        <f>'Por año'!C207</f>
        <v>0</v>
      </c>
      <c r="E28" s="56">
        <f>'Por año'!E207</f>
        <v>0</v>
      </c>
      <c r="F28" s="56">
        <f>'Por año'!F207</f>
        <v>0</v>
      </c>
      <c r="H28" s="20">
        <f>'Por año'!H207</f>
        <v>0</v>
      </c>
      <c r="I28" s="56">
        <f>'Por año'!I207</f>
        <v>0</v>
      </c>
      <c r="J28" s="56">
        <f>'Por año'!K188</f>
        <v>0</v>
      </c>
    </row>
    <row r="29" spans="1:10" ht="15.75" customHeight="1">
      <c r="A29" s="56">
        <f>'Por año'!A208</f>
        <v>0</v>
      </c>
      <c r="B29" s="56">
        <f>'Por año'!B208</f>
        <v>0</v>
      </c>
      <c r="C29" s="19">
        <f>'Por año'!C208</f>
        <v>0</v>
      </c>
      <c r="E29" s="56">
        <f>'Por año'!E208</f>
        <v>0</v>
      </c>
      <c r="F29" s="56">
        <f>'Por año'!F208</f>
        <v>0</v>
      </c>
      <c r="H29" s="20">
        <f>'Por año'!H208</f>
        <v>0</v>
      </c>
      <c r="I29" s="56">
        <f>'Por año'!I208</f>
        <v>0</v>
      </c>
      <c r="J29" s="56">
        <f>'Por año'!K189</f>
        <v>0</v>
      </c>
    </row>
    <row r="30" spans="1:10" ht="15.75" customHeight="1">
      <c r="A30" s="56">
        <f>'Por año'!A209</f>
        <v>0</v>
      </c>
      <c r="B30" s="56">
        <f>'Por año'!B209</f>
        <v>0</v>
      </c>
      <c r="C30" s="19">
        <f>'Por año'!C209</f>
        <v>0</v>
      </c>
      <c r="E30" s="56">
        <f>'Por año'!E209</f>
        <v>0</v>
      </c>
      <c r="F30" s="56">
        <f>'Por año'!F209</f>
        <v>0</v>
      </c>
      <c r="H30" s="20">
        <f>'Por año'!H209</f>
        <v>0</v>
      </c>
      <c r="I30" s="56">
        <f>'Por año'!I209</f>
        <v>0</v>
      </c>
      <c r="J30" s="56">
        <f>'Por año'!K190</f>
        <v>0</v>
      </c>
    </row>
    <row r="31" spans="1:10" ht="15.75" customHeight="1">
      <c r="A31" s="56">
        <f>'Por año'!A210</f>
        <v>0</v>
      </c>
      <c r="B31" s="56">
        <f>'Por año'!B210</f>
        <v>0</v>
      </c>
      <c r="C31" s="19">
        <f>'Por año'!C210</f>
        <v>0</v>
      </c>
      <c r="E31" s="56">
        <f>'Por año'!E210</f>
        <v>0</v>
      </c>
      <c r="F31" s="56">
        <f>'Por año'!F210</f>
        <v>0</v>
      </c>
      <c r="H31" s="20">
        <f>'Por año'!H210</f>
        <v>0</v>
      </c>
      <c r="I31" s="56">
        <f>'Por año'!I210</f>
        <v>0</v>
      </c>
      <c r="J31" s="56">
        <f>'Por año'!K191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30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63" t="str">
        <f>'Por año'!A27</f>
        <v>24-25</v>
      </c>
      <c r="B2" s="63" t="str">
        <f>'Por año'!B45</f>
        <v>Mate</v>
      </c>
      <c r="C2" s="64">
        <f>'Por año'!C27</f>
        <v>7</v>
      </c>
      <c r="D2" s="63" t="str">
        <f t="shared" ref="D2:D10" si="0">CONCATENATE(A2,"(",C2,")")</f>
        <v>24-25(7)</v>
      </c>
      <c r="E2" s="20">
        <f>'Por año'!E27</f>
        <v>1</v>
      </c>
      <c r="F2" s="56">
        <f>'Por año'!F27</f>
        <v>6.36</v>
      </c>
      <c r="G2" s="56">
        <f>'Por año'!G27</f>
        <v>6.43</v>
      </c>
      <c r="H2" s="20">
        <f>'Por año'!H27</f>
        <v>0.59230000000000005</v>
      </c>
      <c r="I2" s="56">
        <f>'Por año'!I27</f>
        <v>5.22</v>
      </c>
    </row>
    <row r="3" spans="1:10" ht="15.75" customHeight="1">
      <c r="A3" s="63" t="str">
        <f>'Por año'!A46</f>
        <v>23-24</v>
      </c>
      <c r="B3" s="63" t="str">
        <f>'Por año'!B46</f>
        <v>Mate CCSS</v>
      </c>
      <c r="C3" s="64">
        <f>'Por año'!C46</f>
        <v>9</v>
      </c>
      <c r="D3" s="63" t="str">
        <f t="shared" si="0"/>
        <v>23-24(9)</v>
      </c>
      <c r="E3" s="20">
        <f>'Por año'!E46</f>
        <v>1</v>
      </c>
      <c r="F3" s="56">
        <f>'Por año'!F46</f>
        <v>7.04</v>
      </c>
      <c r="G3" s="56">
        <f>'Por año'!G46</f>
        <v>6.11</v>
      </c>
      <c r="H3" s="20">
        <f>'Por año'!H46</f>
        <v>0.79390000000000005</v>
      </c>
      <c r="I3" s="56">
        <f>'Por año'!I46</f>
        <v>6.72</v>
      </c>
    </row>
    <row r="4" spans="1:10" ht="15.75" customHeight="1">
      <c r="A4" s="63" t="str">
        <f>'Por año'!A65</f>
        <v>22-23</v>
      </c>
      <c r="B4" s="63" t="str">
        <f>'Por año'!B65</f>
        <v>Mate CCSS</v>
      </c>
      <c r="C4" s="64">
        <f>'Por año'!C65</f>
        <v>18</v>
      </c>
      <c r="D4" s="63" t="str">
        <f t="shared" si="0"/>
        <v>22-23(18)</v>
      </c>
      <c r="E4" s="20">
        <f>'Por año'!E65</f>
        <v>1</v>
      </c>
      <c r="F4" s="56">
        <f>'Por año'!F65</f>
        <v>7.71</v>
      </c>
      <c r="G4" s="56">
        <f>'Por año'!G65</f>
        <v>7.11</v>
      </c>
      <c r="H4" s="20">
        <f>'Por año'!H65</f>
        <v>0.80379999999999996</v>
      </c>
      <c r="I4" s="56">
        <f>'Por año'!I65</f>
        <v>6.79</v>
      </c>
    </row>
    <row r="5" spans="1:10" ht="15.75" customHeight="1">
      <c r="A5" s="56" t="str">
        <f>'Por año'!A84</f>
        <v>21-22</v>
      </c>
      <c r="B5" s="56" t="str">
        <f>'Por año'!B84</f>
        <v>Mate CCSS</v>
      </c>
      <c r="C5" s="19">
        <f>'Por año'!C84</f>
        <v>20</v>
      </c>
      <c r="D5" s="56" t="str">
        <f t="shared" si="0"/>
        <v>21-22(20)</v>
      </c>
      <c r="E5" s="20">
        <f>'Por año'!E84</f>
        <v>0.8</v>
      </c>
      <c r="F5" s="56">
        <f>'Por año'!F84</f>
        <v>6.2</v>
      </c>
      <c r="G5" s="56">
        <f>'Por año'!G84</f>
        <v>6.68</v>
      </c>
      <c r="H5" s="20">
        <f>'Por año'!H84</f>
        <v>0.70989999999999998</v>
      </c>
      <c r="I5" s="56">
        <f>'Por año'!I84</f>
        <v>5.93</v>
      </c>
    </row>
    <row r="6" spans="1:10" ht="15.75" customHeight="1">
      <c r="A6" s="56" t="str">
        <f>'Por año'!A103</f>
        <v>20-21</v>
      </c>
      <c r="B6" s="56" t="str">
        <f>'Por año'!B103</f>
        <v>Mate CCSS</v>
      </c>
      <c r="C6" s="19">
        <f>'Por año'!C103</f>
        <v>19</v>
      </c>
      <c r="D6" s="56" t="str">
        <f t="shared" si="0"/>
        <v>20-21(19)</v>
      </c>
      <c r="E6" s="20">
        <f>'Por año'!E103</f>
        <v>0.84209999999999996</v>
      </c>
      <c r="F6" s="56">
        <f>'Por año'!F103</f>
        <v>6.87</v>
      </c>
      <c r="G6" s="56">
        <f>'Por año'!G103</f>
        <v>6.89</v>
      </c>
      <c r="H6" s="20">
        <f>'Por año'!H103</f>
        <v>0.65680000000000005</v>
      </c>
      <c r="I6" s="56">
        <f>'Por año'!I103</f>
        <v>5.83</v>
      </c>
    </row>
    <row r="7" spans="1:10" ht="15.75" customHeight="1">
      <c r="A7" s="56" t="str">
        <f>'Por año'!A122</f>
        <v>19-20</v>
      </c>
      <c r="B7" s="56" t="str">
        <f>'Por año'!B122</f>
        <v>Mate CCSS</v>
      </c>
      <c r="C7" s="19">
        <f>'Por año'!C122</f>
        <v>20</v>
      </c>
      <c r="D7" s="56" t="str">
        <f t="shared" si="0"/>
        <v>19-20(20)</v>
      </c>
      <c r="E7" s="20">
        <f>'Por año'!E122</f>
        <v>0.85</v>
      </c>
      <c r="F7" s="56">
        <f>'Por año'!F122</f>
        <v>6.3879999999999999</v>
      </c>
      <c r="G7" s="56">
        <f>'Por año'!G122</f>
        <v>7.72</v>
      </c>
      <c r="H7" s="20">
        <f>'Por año'!H122</f>
        <v>0.59989999999999999</v>
      </c>
      <c r="I7" s="56">
        <f>'Por año'!I122</f>
        <v>5.3310000000000004</v>
      </c>
    </row>
    <row r="8" spans="1:10" ht="15.75" customHeight="1">
      <c r="A8" s="56" t="str">
        <f>'Por año'!A141</f>
        <v>18-19</v>
      </c>
      <c r="B8" s="56" t="str">
        <f>'Por año'!B141</f>
        <v>Mate CCSS</v>
      </c>
      <c r="C8" s="19">
        <f>'Por año'!C141</f>
        <v>20</v>
      </c>
      <c r="D8" s="56" t="str">
        <f t="shared" si="0"/>
        <v>18-19(20)</v>
      </c>
      <c r="E8" s="20">
        <f>'Por año'!E141</f>
        <v>0.7</v>
      </c>
      <c r="F8" s="56">
        <f>'Por año'!F141</f>
        <v>5.875</v>
      </c>
      <c r="G8" s="56">
        <f>'Por año'!G141</f>
        <v>6</v>
      </c>
      <c r="H8" s="20">
        <f>'Por año'!H141</f>
        <v>0.55489999999999995</v>
      </c>
      <c r="I8" s="56">
        <f>'Por año'!I141</f>
        <v>5.2619999999999996</v>
      </c>
    </row>
    <row r="9" spans="1:10" ht="15.75" customHeight="1">
      <c r="A9" s="56" t="str">
        <f>'Por año'!A160</f>
        <v>17-18</v>
      </c>
      <c r="B9" s="56" t="str">
        <f>'Por año'!B160</f>
        <v>Mate CCSS</v>
      </c>
      <c r="C9" s="19">
        <f>'Por año'!C160</f>
        <v>15</v>
      </c>
      <c r="D9" s="56" t="str">
        <f t="shared" si="0"/>
        <v>17-18(15)</v>
      </c>
      <c r="E9" s="20">
        <f>'Por año'!E160</f>
        <v>1</v>
      </c>
      <c r="F9" s="56">
        <f>'Por año'!F160</f>
        <v>7.35</v>
      </c>
      <c r="G9" s="56">
        <f>'Por año'!G160</f>
        <v>6.19</v>
      </c>
      <c r="H9" s="20">
        <f>'Por año'!H160</f>
        <v>0.83230000000000004</v>
      </c>
      <c r="I9" s="56">
        <f>'Por año'!I160</f>
        <v>7.0460000000000003</v>
      </c>
    </row>
    <row r="10" spans="1:10" ht="15.75" customHeight="1">
      <c r="A10" s="56" t="str">
        <f>'Por año'!A179</f>
        <v>16-17</v>
      </c>
      <c r="B10" s="56" t="str">
        <f>'Por año'!B179</f>
        <v>Mate CCSS</v>
      </c>
      <c r="C10" s="19">
        <f>'Por año'!C179</f>
        <v>16</v>
      </c>
      <c r="D10" s="56" t="str">
        <f t="shared" si="0"/>
        <v>16-17(16)</v>
      </c>
      <c r="E10" s="20">
        <f>'Por año'!E179</f>
        <v>0.875</v>
      </c>
      <c r="F10" s="56">
        <f>'Por año'!F179</f>
        <v>7.1719999999999997</v>
      </c>
      <c r="G10" s="56">
        <f>'Por año'!G179</f>
        <v>7</v>
      </c>
      <c r="H10" s="20">
        <f>'Por año'!H179</f>
        <v>0.58650000000000002</v>
      </c>
      <c r="I10" s="56">
        <f>'Por año'!I179</f>
        <v>5.2160000000000002</v>
      </c>
      <c r="J10" s="56">
        <f>'Por año'!K170</f>
        <v>0</v>
      </c>
    </row>
    <row r="11" spans="1:10" ht="15.75" customHeight="1">
      <c r="A11" s="56">
        <f>'Por año'!A191</f>
        <v>0</v>
      </c>
      <c r="B11" s="56">
        <f>'Por año'!B191</f>
        <v>0</v>
      </c>
      <c r="C11" s="19">
        <f>'Por año'!C191</f>
        <v>0</v>
      </c>
      <c r="E11" s="56">
        <f>'Por año'!E191</f>
        <v>0</v>
      </c>
      <c r="F11" s="56">
        <f>'Por año'!F191</f>
        <v>0</v>
      </c>
      <c r="H11" s="20">
        <f>'Por año'!H191</f>
        <v>0</v>
      </c>
      <c r="I11" s="56">
        <f>'Por año'!I191</f>
        <v>0</v>
      </c>
      <c r="J11" s="56">
        <f>'Por año'!K172</f>
        <v>0</v>
      </c>
    </row>
    <row r="12" spans="1:10" ht="15.75" customHeight="1">
      <c r="A12" s="56">
        <f>'Por año'!A192</f>
        <v>0</v>
      </c>
      <c r="B12" s="56">
        <f>'Por año'!B192</f>
        <v>0</v>
      </c>
      <c r="C12" s="19">
        <f>'Por año'!C192</f>
        <v>0</v>
      </c>
      <c r="E12" s="56">
        <f>'Por año'!E192</f>
        <v>0</v>
      </c>
      <c r="F12" s="56">
        <f>'Por año'!F192</f>
        <v>0</v>
      </c>
      <c r="H12" s="20">
        <f>'Por año'!H192</f>
        <v>0</v>
      </c>
      <c r="I12" s="56">
        <f>'Por año'!I192</f>
        <v>0</v>
      </c>
      <c r="J12" s="56">
        <f>'Por año'!K173</f>
        <v>0</v>
      </c>
    </row>
    <row r="13" spans="1:10" ht="15.75" customHeight="1">
      <c r="A13" s="56">
        <f>'Por año'!A193</f>
        <v>0</v>
      </c>
      <c r="B13" s="56">
        <f>'Por año'!B193</f>
        <v>0</v>
      </c>
      <c r="C13" s="19">
        <f>'Por año'!C193</f>
        <v>0</v>
      </c>
      <c r="E13" s="56">
        <f>'Por año'!E193</f>
        <v>0</v>
      </c>
      <c r="F13" s="56">
        <f>'Por año'!F193</f>
        <v>0</v>
      </c>
      <c r="H13" s="20">
        <f>'Por año'!H193</f>
        <v>0</v>
      </c>
      <c r="I13" s="56">
        <f>'Por año'!I193</f>
        <v>0</v>
      </c>
      <c r="J13" s="56">
        <f>'Por año'!K174</f>
        <v>0</v>
      </c>
    </row>
    <row r="14" spans="1:10" ht="15.75" customHeight="1">
      <c r="A14" s="56">
        <f>'Por año'!A194</f>
        <v>0</v>
      </c>
      <c r="B14" s="56">
        <f>'Por año'!B194</f>
        <v>0</v>
      </c>
      <c r="C14" s="19">
        <f>'Por año'!C194</f>
        <v>0</v>
      </c>
      <c r="E14" s="56">
        <f>'Por año'!E194</f>
        <v>0</v>
      </c>
      <c r="F14" s="56">
        <f>'Por año'!F194</f>
        <v>0</v>
      </c>
      <c r="H14" s="20">
        <f>'Por año'!H194</f>
        <v>0</v>
      </c>
      <c r="I14" s="56">
        <f>'Por año'!I194</f>
        <v>0</v>
      </c>
      <c r="J14" s="56">
        <f>'Por año'!K175</f>
        <v>0</v>
      </c>
    </row>
    <row r="15" spans="1:10" ht="15.75" customHeight="1">
      <c r="A15" s="56">
        <f>'Por año'!A195</f>
        <v>0</v>
      </c>
      <c r="B15" s="56">
        <f>'Por año'!B195</f>
        <v>0</v>
      </c>
      <c r="C15" s="19">
        <f>'Por año'!C195</f>
        <v>0</v>
      </c>
      <c r="E15" s="56">
        <f>'Por año'!E195</f>
        <v>0</v>
      </c>
      <c r="F15" s="56">
        <f>'Por año'!F195</f>
        <v>0</v>
      </c>
      <c r="H15" s="20">
        <f>'Por año'!H195</f>
        <v>0</v>
      </c>
      <c r="I15" s="56">
        <f>'Por año'!I195</f>
        <v>0</v>
      </c>
      <c r="J15" s="56">
        <f>'Por año'!K176</f>
        <v>0</v>
      </c>
    </row>
    <row r="16" spans="1:10" ht="15.75" customHeight="1">
      <c r="A16" s="56">
        <f>'Por año'!A196</f>
        <v>0</v>
      </c>
      <c r="B16" s="56">
        <f>'Por año'!B196</f>
        <v>0</v>
      </c>
      <c r="C16" s="19">
        <f>'Por año'!C196</f>
        <v>0</v>
      </c>
      <c r="E16" s="56">
        <f>'Por año'!E196</f>
        <v>0</v>
      </c>
      <c r="F16" s="56">
        <f>'Por año'!F196</f>
        <v>0</v>
      </c>
      <c r="H16" s="20">
        <f>'Por año'!H196</f>
        <v>0</v>
      </c>
      <c r="I16" s="56">
        <f>'Por año'!I196</f>
        <v>0</v>
      </c>
      <c r="J16" s="56">
        <f>'Por año'!K177</f>
        <v>0</v>
      </c>
    </row>
    <row r="17" spans="1:10" ht="15.75" customHeight="1">
      <c r="A17" s="56">
        <f>'Por año'!A197</f>
        <v>0</v>
      </c>
      <c r="B17" s="56">
        <f>'Por año'!B197</f>
        <v>0</v>
      </c>
      <c r="C17" s="19">
        <f>'Por año'!C197</f>
        <v>0</v>
      </c>
      <c r="E17" s="56">
        <f>'Por año'!E197</f>
        <v>0</v>
      </c>
      <c r="F17" s="56">
        <f>'Por año'!F197</f>
        <v>0</v>
      </c>
      <c r="H17" s="20">
        <f>'Por año'!H197</f>
        <v>0</v>
      </c>
      <c r="I17" s="56">
        <f>'Por año'!I197</f>
        <v>0</v>
      </c>
      <c r="J17" s="56">
        <f>'Por año'!K178</f>
        <v>0</v>
      </c>
    </row>
    <row r="18" spans="1:10" ht="15.75" customHeight="1">
      <c r="A18" s="56">
        <f>'Por año'!A198</f>
        <v>0</v>
      </c>
      <c r="B18" s="56">
        <f>'Por año'!B198</f>
        <v>0</v>
      </c>
      <c r="C18" s="19">
        <f>'Por año'!C198</f>
        <v>0</v>
      </c>
      <c r="E18" s="56">
        <f>'Por año'!E198</f>
        <v>0</v>
      </c>
      <c r="F18" s="56">
        <f>'Por año'!F198</f>
        <v>0</v>
      </c>
      <c r="H18" s="20">
        <f>'Por año'!H198</f>
        <v>0</v>
      </c>
      <c r="I18" s="56">
        <f>'Por año'!I198</f>
        <v>0</v>
      </c>
      <c r="J18" s="56">
        <f>'Por año'!K179</f>
        <v>0</v>
      </c>
    </row>
    <row r="19" spans="1:10" ht="15.75" customHeight="1">
      <c r="A19" s="56">
        <f>'Por año'!A199</f>
        <v>0</v>
      </c>
      <c r="B19" s="56">
        <f>'Por año'!B199</f>
        <v>0</v>
      </c>
      <c r="C19" s="19">
        <f>'Por año'!C199</f>
        <v>0</v>
      </c>
      <c r="E19" s="56">
        <f>'Por año'!E199</f>
        <v>0</v>
      </c>
      <c r="F19" s="56">
        <f>'Por año'!F199</f>
        <v>0</v>
      </c>
      <c r="H19" s="20">
        <f>'Por año'!H199</f>
        <v>0</v>
      </c>
      <c r="I19" s="56">
        <f>'Por año'!I199</f>
        <v>0</v>
      </c>
      <c r="J19" s="56">
        <f>'Por año'!K180</f>
        <v>0</v>
      </c>
    </row>
    <row r="20" spans="1:10" ht="15.75" customHeight="1">
      <c r="A20" s="56">
        <f>'Por año'!A200</f>
        <v>0</v>
      </c>
      <c r="B20" s="56">
        <f>'Por año'!B200</f>
        <v>0</v>
      </c>
      <c r="C20" s="19">
        <f>'Por año'!C200</f>
        <v>0</v>
      </c>
      <c r="E20" s="56">
        <f>'Por año'!E200</f>
        <v>0</v>
      </c>
      <c r="F20" s="56">
        <f>'Por año'!F200</f>
        <v>0</v>
      </c>
      <c r="H20" s="20">
        <f>'Por año'!H200</f>
        <v>0</v>
      </c>
      <c r="I20" s="56">
        <f>'Por año'!I200</f>
        <v>0</v>
      </c>
      <c r="J20" s="56">
        <f>'Por año'!K181</f>
        <v>0</v>
      </c>
    </row>
    <row r="21" spans="1:10" ht="15.75" customHeight="1">
      <c r="A21" s="56">
        <f>'Por año'!A201</f>
        <v>0</v>
      </c>
      <c r="B21" s="56">
        <f>'Por año'!B201</f>
        <v>0</v>
      </c>
      <c r="C21" s="19">
        <f>'Por año'!C201</f>
        <v>0</v>
      </c>
      <c r="E21" s="56">
        <f>'Por año'!E201</f>
        <v>0</v>
      </c>
      <c r="F21" s="56">
        <f>'Por año'!F201</f>
        <v>0</v>
      </c>
      <c r="H21" s="20">
        <f>'Por año'!H201</f>
        <v>0</v>
      </c>
      <c r="I21" s="56">
        <f>'Por año'!I201</f>
        <v>0</v>
      </c>
      <c r="J21" s="56">
        <f>'Por año'!K182</f>
        <v>0</v>
      </c>
    </row>
    <row r="22" spans="1:10" ht="15.75" customHeight="1">
      <c r="A22" s="56">
        <f>'Por año'!A202</f>
        <v>0</v>
      </c>
      <c r="B22" s="56">
        <f>'Por año'!B202</f>
        <v>0</v>
      </c>
      <c r="C22" s="19">
        <f>'Por año'!C202</f>
        <v>0</v>
      </c>
      <c r="E22" s="56">
        <f>'Por año'!E202</f>
        <v>0</v>
      </c>
      <c r="F22" s="56">
        <f>'Por año'!F202</f>
        <v>0</v>
      </c>
      <c r="H22" s="20">
        <f>'Por año'!H202</f>
        <v>0</v>
      </c>
      <c r="I22" s="56">
        <f>'Por año'!I202</f>
        <v>0</v>
      </c>
      <c r="J22" s="56">
        <f>'Por año'!K183</f>
        <v>0</v>
      </c>
    </row>
    <row r="23" spans="1:10" ht="15.75" customHeight="1">
      <c r="A23" s="56">
        <f>'Por año'!A203</f>
        <v>0</v>
      </c>
      <c r="B23" s="56">
        <f>'Por año'!B203</f>
        <v>0</v>
      </c>
      <c r="C23" s="19">
        <f>'Por año'!C203</f>
        <v>0</v>
      </c>
      <c r="E23" s="56">
        <f>'Por año'!E203</f>
        <v>0</v>
      </c>
      <c r="F23" s="56">
        <f>'Por año'!F203</f>
        <v>0</v>
      </c>
      <c r="H23" s="20">
        <f>'Por año'!H203</f>
        <v>0</v>
      </c>
      <c r="I23" s="56">
        <f>'Por año'!I203</f>
        <v>0</v>
      </c>
      <c r="J23" s="56">
        <f>'Por año'!K184</f>
        <v>0</v>
      </c>
    </row>
    <row r="24" spans="1:10" ht="15.75" customHeight="1">
      <c r="A24" s="56">
        <f>'Por año'!A204</f>
        <v>0</v>
      </c>
      <c r="B24" s="56">
        <f>'Por año'!B204</f>
        <v>0</v>
      </c>
      <c r="C24" s="19">
        <f>'Por año'!C204</f>
        <v>0</v>
      </c>
      <c r="E24" s="56">
        <f>'Por año'!E204</f>
        <v>0</v>
      </c>
      <c r="F24" s="56">
        <f>'Por año'!F204</f>
        <v>0</v>
      </c>
      <c r="H24" s="20">
        <f>'Por año'!H204</f>
        <v>0</v>
      </c>
      <c r="I24" s="56">
        <f>'Por año'!I204</f>
        <v>0</v>
      </c>
      <c r="J24" s="56">
        <f>'Por año'!K185</f>
        <v>0</v>
      </c>
    </row>
    <row r="25" spans="1:10" ht="15.75" customHeight="1">
      <c r="A25" s="56">
        <f>'Por año'!A205</f>
        <v>0</v>
      </c>
      <c r="B25" s="56">
        <f>'Por año'!B205</f>
        <v>0</v>
      </c>
      <c r="C25" s="19">
        <f>'Por año'!C205</f>
        <v>0</v>
      </c>
      <c r="E25" s="56">
        <f>'Por año'!E205</f>
        <v>0</v>
      </c>
      <c r="F25" s="56">
        <f>'Por año'!F205</f>
        <v>0</v>
      </c>
      <c r="H25" s="20">
        <f>'Por año'!H205</f>
        <v>0</v>
      </c>
      <c r="I25" s="56">
        <f>'Por año'!I205</f>
        <v>0</v>
      </c>
      <c r="J25" s="56">
        <f>'Por año'!K186</f>
        <v>0</v>
      </c>
    </row>
    <row r="26" spans="1:10" ht="15.75" customHeight="1">
      <c r="A26" s="56">
        <f>'Por año'!A206</f>
        <v>0</v>
      </c>
      <c r="B26" s="56">
        <f>'Por año'!B206</f>
        <v>0</v>
      </c>
      <c r="C26" s="19">
        <f>'Por año'!C206</f>
        <v>0</v>
      </c>
      <c r="E26" s="56">
        <f>'Por año'!E206</f>
        <v>0</v>
      </c>
      <c r="F26" s="56">
        <f>'Por año'!F206</f>
        <v>0</v>
      </c>
      <c r="H26" s="20">
        <f>'Por año'!H206</f>
        <v>0</v>
      </c>
      <c r="I26" s="56">
        <f>'Por año'!I206</f>
        <v>0</v>
      </c>
      <c r="J26" s="56">
        <f>'Por año'!K187</f>
        <v>0</v>
      </c>
    </row>
    <row r="27" spans="1:10" ht="15.75" customHeight="1">
      <c r="A27" s="56">
        <f>'Por año'!A207</f>
        <v>0</v>
      </c>
      <c r="B27" s="56">
        <f>'Por año'!B207</f>
        <v>0</v>
      </c>
      <c r="C27" s="19">
        <f>'Por año'!C207</f>
        <v>0</v>
      </c>
      <c r="E27" s="56">
        <f>'Por año'!E207</f>
        <v>0</v>
      </c>
      <c r="F27" s="56">
        <f>'Por año'!F207</f>
        <v>0</v>
      </c>
      <c r="H27" s="20">
        <f>'Por año'!H207</f>
        <v>0</v>
      </c>
      <c r="I27" s="56">
        <f>'Por año'!I207</f>
        <v>0</v>
      </c>
      <c r="J27" s="56">
        <f>'Por año'!K188</f>
        <v>0</v>
      </c>
    </row>
    <row r="28" spans="1:10" ht="15.75" customHeight="1">
      <c r="A28" s="56">
        <f>'Por año'!A208</f>
        <v>0</v>
      </c>
      <c r="B28" s="56">
        <f>'Por año'!B208</f>
        <v>0</v>
      </c>
      <c r="C28" s="19">
        <f>'Por año'!C208</f>
        <v>0</v>
      </c>
      <c r="E28" s="56">
        <f>'Por año'!E208</f>
        <v>0</v>
      </c>
      <c r="F28" s="56">
        <f>'Por año'!F208</f>
        <v>0</v>
      </c>
      <c r="H28" s="20">
        <f>'Por año'!H208</f>
        <v>0</v>
      </c>
      <c r="I28" s="56">
        <f>'Por año'!I208</f>
        <v>0</v>
      </c>
      <c r="J28" s="56">
        <f>'Por año'!K189</f>
        <v>0</v>
      </c>
    </row>
    <row r="29" spans="1:10" ht="15.75" customHeight="1">
      <c r="A29" s="56">
        <f>'Por año'!A209</f>
        <v>0</v>
      </c>
      <c r="B29" s="56">
        <f>'Por año'!B209</f>
        <v>0</v>
      </c>
      <c r="C29" s="19">
        <f>'Por año'!C209</f>
        <v>0</v>
      </c>
      <c r="E29" s="56">
        <f>'Por año'!E209</f>
        <v>0</v>
      </c>
      <c r="F29" s="56">
        <f>'Por año'!F209</f>
        <v>0</v>
      </c>
      <c r="H29" s="20">
        <f>'Por año'!H209</f>
        <v>0</v>
      </c>
      <c r="I29" s="56">
        <f>'Por año'!I209</f>
        <v>0</v>
      </c>
      <c r="J29" s="56">
        <f>'Por año'!K190</f>
        <v>0</v>
      </c>
    </row>
    <row r="30" spans="1:10" ht="15.75" customHeight="1">
      <c r="A30" s="56">
        <f>'Por año'!A210</f>
        <v>0</v>
      </c>
      <c r="B30" s="56">
        <f>'Por año'!B210</f>
        <v>0</v>
      </c>
      <c r="C30" s="19">
        <f>'Por año'!C210</f>
        <v>0</v>
      </c>
      <c r="E30" s="56">
        <f>'Por año'!E210</f>
        <v>0</v>
      </c>
      <c r="F30" s="56">
        <f>'Por año'!F210</f>
        <v>0</v>
      </c>
      <c r="H30" s="20">
        <f>'Por año'!H210</f>
        <v>0</v>
      </c>
      <c r="I30" s="56">
        <f>'Por año'!I210</f>
        <v>0</v>
      </c>
      <c r="J30" s="56">
        <f>'Por año'!K191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29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año'!A28</f>
        <v>24-25</v>
      </c>
      <c r="B2" s="56" t="str">
        <f>'Por año'!B28</f>
        <v>Física</v>
      </c>
      <c r="C2" s="19">
        <f>'Por año'!C28</f>
        <v>20</v>
      </c>
      <c r="D2" s="56" t="str">
        <f t="shared" ref="D2:D10" si="0">CONCATENATE(A2,"(",C2,")")</f>
        <v>24-25(20)</v>
      </c>
      <c r="E2" s="20">
        <f>'Por año'!E28</f>
        <v>0.3</v>
      </c>
      <c r="F2" s="56">
        <f>'Por año'!F28</f>
        <v>4.43</v>
      </c>
      <c r="G2" s="56">
        <f>'Por año'!G28</f>
        <v>6.65</v>
      </c>
      <c r="H2" s="20">
        <f>'Por año'!H28</f>
        <v>0.5504</v>
      </c>
      <c r="I2" s="56">
        <f>'Por año'!I28</f>
        <v>5.3</v>
      </c>
    </row>
    <row r="3" spans="1:10" ht="15.75" customHeight="1">
      <c r="A3" s="56" t="str">
        <f>'Por año'!A47</f>
        <v>23-24</v>
      </c>
      <c r="B3" s="56" t="str">
        <f>'Por año'!B47</f>
        <v>Física</v>
      </c>
      <c r="C3" s="19">
        <f>'Por año'!C47</f>
        <v>26</v>
      </c>
      <c r="D3" s="56" t="str">
        <f t="shared" si="0"/>
        <v>23-24(26)</v>
      </c>
      <c r="E3" s="20">
        <f>'Por año'!E47</f>
        <v>0.81479999999999997</v>
      </c>
      <c r="F3" s="56">
        <f>'Por año'!F47</f>
        <v>6.21</v>
      </c>
      <c r="G3" s="56">
        <f>'Por año'!G47</f>
        <v>7</v>
      </c>
      <c r="H3" s="20">
        <f>'Por año'!H47</f>
        <v>0.78490000000000004</v>
      </c>
      <c r="I3" s="56">
        <f>'Por año'!I47</f>
        <v>6.45</v>
      </c>
    </row>
    <row r="4" spans="1:10" ht="15.75" customHeight="1">
      <c r="A4" s="56" t="str">
        <f>'Por año'!A66</f>
        <v>22-23</v>
      </c>
      <c r="B4" s="56" t="str">
        <f>'Por año'!B66</f>
        <v>Física</v>
      </c>
      <c r="C4" s="19">
        <f>'Por año'!C66</f>
        <v>21</v>
      </c>
      <c r="D4" s="56" t="str">
        <f t="shared" si="0"/>
        <v>22-23(21)</v>
      </c>
      <c r="E4" s="20">
        <f>'Por año'!E66</f>
        <v>0.90910000000000002</v>
      </c>
      <c r="F4" s="56">
        <f>'Por año'!F66</f>
        <v>7.27</v>
      </c>
      <c r="G4" s="56">
        <f>'Por año'!G66</f>
        <v>7.2</v>
      </c>
      <c r="H4" s="20">
        <f>'Por año'!H66</f>
        <v>0.81130000000000002</v>
      </c>
      <c r="I4" s="56">
        <f>'Por año'!I66</f>
        <v>6.85</v>
      </c>
    </row>
    <row r="5" spans="1:10" ht="15.75" customHeight="1">
      <c r="A5" s="56" t="str">
        <f>'Por año'!A85</f>
        <v>21-22</v>
      </c>
      <c r="B5" s="56" t="str">
        <f>'Por año'!B85</f>
        <v>Física</v>
      </c>
      <c r="C5" s="19">
        <f>'Por año'!C85</f>
        <v>25</v>
      </c>
      <c r="D5" s="56" t="str">
        <f t="shared" si="0"/>
        <v>21-22(25)</v>
      </c>
      <c r="E5" s="20">
        <f>'Por año'!E85</f>
        <v>0.72</v>
      </c>
      <c r="F5" s="56">
        <f>'Por año'!F85</f>
        <v>5.72</v>
      </c>
      <c r="G5" s="56">
        <f>'Por año'!G85</f>
        <v>7.48</v>
      </c>
      <c r="H5" s="20">
        <f>'Por año'!H85</f>
        <v>0.60589999999999999</v>
      </c>
      <c r="I5" s="56">
        <f>'Por año'!I85</f>
        <v>5.52</v>
      </c>
    </row>
    <row r="6" spans="1:10" ht="15.75" customHeight="1">
      <c r="A6" s="56" t="str">
        <f>'Por año'!A104</f>
        <v>20-21</v>
      </c>
      <c r="B6" s="56" t="str">
        <f>'Por año'!B104</f>
        <v>Física</v>
      </c>
      <c r="C6" s="19">
        <f>'Por año'!C104</f>
        <v>24</v>
      </c>
      <c r="D6" s="56" t="str">
        <f t="shared" si="0"/>
        <v>20-21(24)</v>
      </c>
      <c r="E6" s="20">
        <f>'Por año'!E104</f>
        <v>0.79169999999999996</v>
      </c>
      <c r="F6" s="56">
        <f>'Por año'!F104</f>
        <v>6.98</v>
      </c>
      <c r="G6" s="56">
        <f>'Por año'!G104</f>
        <v>7.77</v>
      </c>
      <c r="H6" s="20">
        <f>'Por año'!H104</f>
        <v>0.77890000000000004</v>
      </c>
      <c r="I6" s="56">
        <f>'Por año'!I104</f>
        <v>6.92</v>
      </c>
    </row>
    <row r="7" spans="1:10" ht="15.75" customHeight="1">
      <c r="A7" s="56" t="str">
        <f>'Por año'!A123</f>
        <v>19-20</v>
      </c>
      <c r="B7" s="56" t="str">
        <f>'Por año'!B123</f>
        <v>Física</v>
      </c>
      <c r="C7" s="19">
        <f>'Por año'!C123</f>
        <v>28</v>
      </c>
      <c r="D7" s="56" t="str">
        <f t="shared" si="0"/>
        <v>19-20(28)</v>
      </c>
      <c r="E7" s="20">
        <f>'Por año'!E123</f>
        <v>0.77780000000000005</v>
      </c>
      <c r="F7" s="56">
        <f>'Por año'!F123</f>
        <v>7.0460000000000003</v>
      </c>
      <c r="G7" s="56">
        <f>'Por año'!G123</f>
        <v>7.3</v>
      </c>
      <c r="H7" s="20">
        <f>'Por año'!H123</f>
        <v>0.81659999999999999</v>
      </c>
      <c r="I7" s="56">
        <f>'Por año'!I123</f>
        <v>7.0810000000000004</v>
      </c>
    </row>
    <row r="8" spans="1:10" ht="15.75" customHeight="1">
      <c r="A8" s="56" t="str">
        <f>'Por año'!A142</f>
        <v>18-19</v>
      </c>
      <c r="B8" s="56" t="str">
        <f>'Por año'!B142</f>
        <v>Física</v>
      </c>
      <c r="C8" s="56">
        <f>'Por año'!C142</f>
        <v>17</v>
      </c>
      <c r="D8" s="56" t="str">
        <f t="shared" si="0"/>
        <v>18-19(17)</v>
      </c>
      <c r="E8" s="20">
        <f>'Por año'!E142</f>
        <v>0.76470000000000005</v>
      </c>
      <c r="F8" s="56">
        <f>'Por año'!F142</f>
        <v>6.5880000000000001</v>
      </c>
      <c r="G8" s="56">
        <f>'Por año'!G142</f>
        <v>7.62</v>
      </c>
      <c r="H8" s="20">
        <f>'Por año'!H142</f>
        <v>0.52800000000000002</v>
      </c>
      <c r="I8" s="56">
        <f>'Por año'!I142</f>
        <v>4.9480000000000004</v>
      </c>
    </row>
    <row r="9" spans="1:10" ht="15.75" customHeight="1">
      <c r="A9" s="56" t="str">
        <f>'Por año'!A161</f>
        <v>17-18</v>
      </c>
      <c r="B9" s="56" t="str">
        <f>'Por año'!B161</f>
        <v>Física</v>
      </c>
      <c r="C9" s="19">
        <f>'Por año'!C161</f>
        <v>15</v>
      </c>
      <c r="D9" s="56" t="str">
        <f t="shared" si="0"/>
        <v>17-18(15)</v>
      </c>
      <c r="E9" s="20">
        <f>'Por año'!E161</f>
        <v>0.5333</v>
      </c>
      <c r="F9" s="56">
        <f>'Por año'!F161</f>
        <v>5.95</v>
      </c>
      <c r="G9" s="56">
        <f>'Por año'!G161</f>
        <v>7.35</v>
      </c>
      <c r="H9" s="20">
        <f>'Por año'!H161</f>
        <v>0.56520000000000004</v>
      </c>
      <c r="I9" s="56">
        <f>'Por año'!I161</f>
        <v>5.2549999999999999</v>
      </c>
    </row>
    <row r="10" spans="1:10" ht="15.75" customHeight="1">
      <c r="A10" s="56" t="str">
        <f>'Por año'!A180</f>
        <v>16-17</v>
      </c>
      <c r="B10" s="56" t="str">
        <f>'Por año'!B180</f>
        <v>Física</v>
      </c>
      <c r="C10" s="19">
        <f>'Por año'!C180</f>
        <v>18</v>
      </c>
      <c r="D10" s="56" t="str">
        <f t="shared" si="0"/>
        <v>16-17(18)</v>
      </c>
      <c r="E10" s="20">
        <f>'Por año'!E180</f>
        <v>0.77780000000000005</v>
      </c>
      <c r="F10" s="56">
        <f>'Por año'!F180</f>
        <v>6.4580000000000002</v>
      </c>
      <c r="G10" s="56">
        <f>'Por año'!G180</f>
        <v>6.86</v>
      </c>
      <c r="H10" s="20">
        <f>'Por año'!H180</f>
        <v>0.66700000000000004</v>
      </c>
      <c r="I10" s="56">
        <f>'Por año'!I180</f>
        <v>5.7220000000000004</v>
      </c>
      <c r="J10" s="56">
        <f>'Por año'!K172</f>
        <v>0</v>
      </c>
    </row>
    <row r="11" spans="1:10" ht="15.75" customHeight="1">
      <c r="A11" s="56">
        <f>'Por año'!A192</f>
        <v>0</v>
      </c>
      <c r="B11" s="56">
        <f>'Por año'!B192</f>
        <v>0</v>
      </c>
      <c r="C11" s="19">
        <f>'Por año'!C192</f>
        <v>0</v>
      </c>
      <c r="E11" s="56">
        <f>'Por año'!E192</f>
        <v>0</v>
      </c>
      <c r="F11" s="56">
        <f>'Por año'!F192</f>
        <v>0</v>
      </c>
      <c r="H11" s="20">
        <f>'Por año'!H192</f>
        <v>0</v>
      </c>
      <c r="I11" s="56">
        <f>'Por año'!I192</f>
        <v>0</v>
      </c>
      <c r="J11" s="56">
        <f>'Por año'!K173</f>
        <v>0</v>
      </c>
    </row>
    <row r="12" spans="1:10" ht="15.75" customHeight="1">
      <c r="A12" s="56">
        <f>'Por año'!A193</f>
        <v>0</v>
      </c>
      <c r="B12" s="56">
        <f>'Por año'!B193</f>
        <v>0</v>
      </c>
      <c r="C12" s="19">
        <f>'Por año'!C193</f>
        <v>0</v>
      </c>
      <c r="E12" s="56">
        <f>'Por año'!E193</f>
        <v>0</v>
      </c>
      <c r="F12" s="56">
        <f>'Por año'!F193</f>
        <v>0</v>
      </c>
      <c r="H12" s="20">
        <f>'Por año'!H193</f>
        <v>0</v>
      </c>
      <c r="I12" s="56">
        <f>'Por año'!I193</f>
        <v>0</v>
      </c>
      <c r="J12" s="56">
        <f>'Por año'!K174</f>
        <v>0</v>
      </c>
    </row>
    <row r="13" spans="1:10" ht="15.75" customHeight="1">
      <c r="A13" s="56">
        <f>'Por año'!A194</f>
        <v>0</v>
      </c>
      <c r="B13" s="56">
        <f>'Por año'!B194</f>
        <v>0</v>
      </c>
      <c r="C13" s="19">
        <f>'Por año'!C194</f>
        <v>0</v>
      </c>
      <c r="E13" s="56">
        <f>'Por año'!E194</f>
        <v>0</v>
      </c>
      <c r="F13" s="56">
        <f>'Por año'!F194</f>
        <v>0</v>
      </c>
      <c r="H13" s="20">
        <f>'Por año'!H194</f>
        <v>0</v>
      </c>
      <c r="I13" s="56">
        <f>'Por año'!I194</f>
        <v>0</v>
      </c>
      <c r="J13" s="56">
        <f>'Por año'!K175</f>
        <v>0</v>
      </c>
    </row>
    <row r="14" spans="1:10" ht="15.75" customHeight="1">
      <c r="A14" s="56">
        <f>'Por año'!A195</f>
        <v>0</v>
      </c>
      <c r="B14" s="56">
        <f>'Por año'!B195</f>
        <v>0</v>
      </c>
      <c r="C14" s="19">
        <f>'Por año'!C195</f>
        <v>0</v>
      </c>
      <c r="E14" s="56">
        <f>'Por año'!E195</f>
        <v>0</v>
      </c>
      <c r="F14" s="56">
        <f>'Por año'!F195</f>
        <v>0</v>
      </c>
      <c r="H14" s="20">
        <f>'Por año'!H195</f>
        <v>0</v>
      </c>
      <c r="I14" s="56">
        <f>'Por año'!I195</f>
        <v>0</v>
      </c>
      <c r="J14" s="56">
        <f>'Por año'!K176</f>
        <v>0</v>
      </c>
    </row>
    <row r="15" spans="1:10" ht="15.75" customHeight="1">
      <c r="A15" s="56">
        <f>'Por año'!A196</f>
        <v>0</v>
      </c>
      <c r="B15" s="56">
        <f>'Por año'!B196</f>
        <v>0</v>
      </c>
      <c r="C15" s="19">
        <f>'Por año'!C196</f>
        <v>0</v>
      </c>
      <c r="E15" s="56">
        <f>'Por año'!E196</f>
        <v>0</v>
      </c>
      <c r="F15" s="56">
        <f>'Por año'!F196</f>
        <v>0</v>
      </c>
      <c r="H15" s="20">
        <f>'Por año'!H196</f>
        <v>0</v>
      </c>
      <c r="I15" s="56">
        <f>'Por año'!I196</f>
        <v>0</v>
      </c>
      <c r="J15" s="56">
        <f>'Por año'!K177</f>
        <v>0</v>
      </c>
    </row>
    <row r="16" spans="1:10" ht="15.75" customHeight="1">
      <c r="A16" s="56">
        <f>'Por año'!A197</f>
        <v>0</v>
      </c>
      <c r="B16" s="56">
        <f>'Por año'!B197</f>
        <v>0</v>
      </c>
      <c r="C16" s="19">
        <f>'Por año'!C197</f>
        <v>0</v>
      </c>
      <c r="E16" s="56">
        <f>'Por año'!E197</f>
        <v>0</v>
      </c>
      <c r="F16" s="56">
        <f>'Por año'!F197</f>
        <v>0</v>
      </c>
      <c r="H16" s="20">
        <f>'Por año'!H197</f>
        <v>0</v>
      </c>
      <c r="I16" s="56">
        <f>'Por año'!I197</f>
        <v>0</v>
      </c>
      <c r="J16" s="56">
        <f>'Por año'!K178</f>
        <v>0</v>
      </c>
    </row>
    <row r="17" spans="1:10" ht="15.75" customHeight="1">
      <c r="A17" s="56">
        <f>'Por año'!A198</f>
        <v>0</v>
      </c>
      <c r="B17" s="56">
        <f>'Por año'!B198</f>
        <v>0</v>
      </c>
      <c r="C17" s="19">
        <f>'Por año'!C198</f>
        <v>0</v>
      </c>
      <c r="E17" s="56">
        <f>'Por año'!E198</f>
        <v>0</v>
      </c>
      <c r="F17" s="56">
        <f>'Por año'!F198</f>
        <v>0</v>
      </c>
      <c r="H17" s="20">
        <f>'Por año'!H198</f>
        <v>0</v>
      </c>
      <c r="I17" s="56">
        <f>'Por año'!I198</f>
        <v>0</v>
      </c>
      <c r="J17" s="56">
        <f>'Por año'!K179</f>
        <v>0</v>
      </c>
    </row>
    <row r="18" spans="1:10" ht="15.75" customHeight="1">
      <c r="A18" s="56">
        <f>'Por año'!A199</f>
        <v>0</v>
      </c>
      <c r="B18" s="56">
        <f>'Por año'!B199</f>
        <v>0</v>
      </c>
      <c r="C18" s="19">
        <f>'Por año'!C199</f>
        <v>0</v>
      </c>
      <c r="E18" s="56">
        <f>'Por año'!E199</f>
        <v>0</v>
      </c>
      <c r="F18" s="56">
        <f>'Por año'!F199</f>
        <v>0</v>
      </c>
      <c r="H18" s="20">
        <f>'Por año'!H199</f>
        <v>0</v>
      </c>
      <c r="I18" s="56">
        <f>'Por año'!I199</f>
        <v>0</v>
      </c>
      <c r="J18" s="56">
        <f>'Por año'!K180</f>
        <v>0</v>
      </c>
    </row>
    <row r="19" spans="1:10" ht="15.75" customHeight="1">
      <c r="A19" s="56">
        <f>'Por año'!A200</f>
        <v>0</v>
      </c>
      <c r="B19" s="56">
        <f>'Por año'!B200</f>
        <v>0</v>
      </c>
      <c r="C19" s="19">
        <f>'Por año'!C200</f>
        <v>0</v>
      </c>
      <c r="E19" s="56">
        <f>'Por año'!E200</f>
        <v>0</v>
      </c>
      <c r="F19" s="56">
        <f>'Por año'!F200</f>
        <v>0</v>
      </c>
      <c r="H19" s="20">
        <f>'Por año'!H200</f>
        <v>0</v>
      </c>
      <c r="I19" s="56">
        <f>'Por año'!I200</f>
        <v>0</v>
      </c>
      <c r="J19" s="56">
        <f>'Por año'!K181</f>
        <v>0</v>
      </c>
    </row>
    <row r="20" spans="1:10" ht="15.75" customHeight="1">
      <c r="A20" s="56">
        <f>'Por año'!A201</f>
        <v>0</v>
      </c>
      <c r="B20" s="56">
        <f>'Por año'!B201</f>
        <v>0</v>
      </c>
      <c r="C20" s="19">
        <f>'Por año'!C201</f>
        <v>0</v>
      </c>
      <c r="E20" s="56">
        <f>'Por año'!E201</f>
        <v>0</v>
      </c>
      <c r="F20" s="56">
        <f>'Por año'!F201</f>
        <v>0</v>
      </c>
      <c r="H20" s="20">
        <f>'Por año'!H201</f>
        <v>0</v>
      </c>
      <c r="I20" s="56">
        <f>'Por año'!I201</f>
        <v>0</v>
      </c>
      <c r="J20" s="56">
        <f>'Por año'!K182</f>
        <v>0</v>
      </c>
    </row>
    <row r="21" spans="1:10" ht="15.75" customHeight="1">
      <c r="A21" s="56">
        <f>'Por año'!A202</f>
        <v>0</v>
      </c>
      <c r="B21" s="56">
        <f>'Por año'!B202</f>
        <v>0</v>
      </c>
      <c r="C21" s="19">
        <f>'Por año'!C202</f>
        <v>0</v>
      </c>
      <c r="E21" s="56">
        <f>'Por año'!E202</f>
        <v>0</v>
      </c>
      <c r="F21" s="56">
        <f>'Por año'!F202</f>
        <v>0</v>
      </c>
      <c r="H21" s="20">
        <f>'Por año'!H202</f>
        <v>0</v>
      </c>
      <c r="I21" s="56">
        <f>'Por año'!I202</f>
        <v>0</v>
      </c>
      <c r="J21" s="56">
        <f>'Por año'!K183</f>
        <v>0</v>
      </c>
    </row>
    <row r="22" spans="1:10" ht="15.75" customHeight="1">
      <c r="A22" s="56">
        <f>'Por año'!A203</f>
        <v>0</v>
      </c>
      <c r="B22" s="56">
        <f>'Por año'!B203</f>
        <v>0</v>
      </c>
      <c r="C22" s="19">
        <f>'Por año'!C203</f>
        <v>0</v>
      </c>
      <c r="E22" s="56">
        <f>'Por año'!E203</f>
        <v>0</v>
      </c>
      <c r="F22" s="56">
        <f>'Por año'!F203</f>
        <v>0</v>
      </c>
      <c r="H22" s="20">
        <f>'Por año'!H203</f>
        <v>0</v>
      </c>
      <c r="I22" s="56">
        <f>'Por año'!I203</f>
        <v>0</v>
      </c>
      <c r="J22" s="56">
        <f>'Por año'!K184</f>
        <v>0</v>
      </c>
    </row>
    <row r="23" spans="1:10" ht="15.75" customHeight="1">
      <c r="A23" s="56">
        <f>'Por año'!A204</f>
        <v>0</v>
      </c>
      <c r="B23" s="56">
        <f>'Por año'!B204</f>
        <v>0</v>
      </c>
      <c r="C23" s="19">
        <f>'Por año'!C204</f>
        <v>0</v>
      </c>
      <c r="E23" s="56">
        <f>'Por año'!E204</f>
        <v>0</v>
      </c>
      <c r="F23" s="56">
        <f>'Por año'!F204</f>
        <v>0</v>
      </c>
      <c r="H23" s="20">
        <f>'Por año'!H204</f>
        <v>0</v>
      </c>
      <c r="I23" s="56">
        <f>'Por año'!I204</f>
        <v>0</v>
      </c>
      <c r="J23" s="56">
        <f>'Por año'!K185</f>
        <v>0</v>
      </c>
    </row>
    <row r="24" spans="1:10" ht="15.75" customHeight="1">
      <c r="A24" s="56">
        <f>'Por año'!A205</f>
        <v>0</v>
      </c>
      <c r="B24" s="56">
        <f>'Por año'!B205</f>
        <v>0</v>
      </c>
      <c r="C24" s="19">
        <f>'Por año'!C205</f>
        <v>0</v>
      </c>
      <c r="E24" s="56">
        <f>'Por año'!E205</f>
        <v>0</v>
      </c>
      <c r="F24" s="56">
        <f>'Por año'!F205</f>
        <v>0</v>
      </c>
      <c r="H24" s="20">
        <f>'Por año'!H205</f>
        <v>0</v>
      </c>
      <c r="I24" s="56">
        <f>'Por año'!I205</f>
        <v>0</v>
      </c>
      <c r="J24" s="56">
        <f>'Por año'!K186</f>
        <v>0</v>
      </c>
    </row>
    <row r="25" spans="1:10" ht="15.75" customHeight="1">
      <c r="A25" s="56">
        <f>'Por año'!A206</f>
        <v>0</v>
      </c>
      <c r="B25" s="56">
        <f>'Por año'!B206</f>
        <v>0</v>
      </c>
      <c r="C25" s="19">
        <f>'Por año'!C206</f>
        <v>0</v>
      </c>
      <c r="E25" s="56">
        <f>'Por año'!E206</f>
        <v>0</v>
      </c>
      <c r="F25" s="56">
        <f>'Por año'!F206</f>
        <v>0</v>
      </c>
      <c r="H25" s="20">
        <f>'Por año'!H206</f>
        <v>0</v>
      </c>
      <c r="I25" s="56">
        <f>'Por año'!I206</f>
        <v>0</v>
      </c>
      <c r="J25" s="56">
        <f>'Por año'!K187</f>
        <v>0</v>
      </c>
    </row>
    <row r="26" spans="1:10" ht="15.75" customHeight="1">
      <c r="A26" s="56">
        <f>'Por año'!A207</f>
        <v>0</v>
      </c>
      <c r="B26" s="56">
        <f>'Por año'!B207</f>
        <v>0</v>
      </c>
      <c r="C26" s="19">
        <f>'Por año'!C207</f>
        <v>0</v>
      </c>
      <c r="E26" s="56">
        <f>'Por año'!E207</f>
        <v>0</v>
      </c>
      <c r="F26" s="56">
        <f>'Por año'!F207</f>
        <v>0</v>
      </c>
      <c r="H26" s="20">
        <f>'Por año'!H207</f>
        <v>0</v>
      </c>
      <c r="I26" s="56">
        <f>'Por año'!I207</f>
        <v>0</v>
      </c>
      <c r="J26" s="56">
        <f>'Por año'!K188</f>
        <v>0</v>
      </c>
    </row>
    <row r="27" spans="1:10" ht="15.75" customHeight="1">
      <c r="A27" s="56">
        <f>'Por año'!A208</f>
        <v>0</v>
      </c>
      <c r="B27" s="56">
        <f>'Por año'!B208</f>
        <v>0</v>
      </c>
      <c r="C27" s="19">
        <f>'Por año'!C208</f>
        <v>0</v>
      </c>
      <c r="E27" s="56">
        <f>'Por año'!E208</f>
        <v>0</v>
      </c>
      <c r="F27" s="56">
        <f>'Por año'!F208</f>
        <v>0</v>
      </c>
      <c r="H27" s="20">
        <f>'Por año'!H208</f>
        <v>0</v>
      </c>
      <c r="I27" s="56">
        <f>'Por año'!I208</f>
        <v>0</v>
      </c>
      <c r="J27" s="56">
        <f>'Por año'!K189</f>
        <v>0</v>
      </c>
    </row>
    <row r="28" spans="1:10" ht="15.75" customHeight="1">
      <c r="A28" s="56">
        <f>'Por año'!A209</f>
        <v>0</v>
      </c>
      <c r="B28" s="56">
        <f>'Por año'!B209</f>
        <v>0</v>
      </c>
      <c r="C28" s="19">
        <f>'Por año'!C209</f>
        <v>0</v>
      </c>
      <c r="E28" s="56">
        <f>'Por año'!E209</f>
        <v>0</v>
      </c>
      <c r="F28" s="56">
        <f>'Por año'!F209</f>
        <v>0</v>
      </c>
      <c r="H28" s="20">
        <f>'Por año'!H209</f>
        <v>0</v>
      </c>
      <c r="I28" s="56">
        <f>'Por año'!I209</f>
        <v>0</v>
      </c>
      <c r="J28" s="56">
        <f>'Por año'!K190</f>
        <v>0</v>
      </c>
    </row>
    <row r="29" spans="1:10" ht="15.75" customHeight="1">
      <c r="A29" s="56">
        <f>'Por año'!A210</f>
        <v>0</v>
      </c>
      <c r="B29" s="56">
        <f>'Por año'!B210</f>
        <v>0</v>
      </c>
      <c r="C29" s="19">
        <f>'Por año'!C210</f>
        <v>0</v>
      </c>
      <c r="E29" s="56">
        <f>'Por año'!E210</f>
        <v>0</v>
      </c>
      <c r="F29" s="56">
        <f>'Por año'!F210</f>
        <v>0</v>
      </c>
      <c r="H29" s="20">
        <f>'Por año'!H210</f>
        <v>0</v>
      </c>
      <c r="I29" s="56">
        <f>'Por año'!I210</f>
        <v>0</v>
      </c>
      <c r="J29" s="56">
        <f>'Por año'!K191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9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9.6132812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año'!A29</f>
        <v>24-25</v>
      </c>
      <c r="B2" s="56" t="str">
        <f>'Por año'!B29</f>
        <v>Química</v>
      </c>
      <c r="C2" s="19">
        <f>'Por año'!C29</f>
        <v>15</v>
      </c>
      <c r="D2" s="56" t="str">
        <f t="shared" ref="D2:D10" si="0">CONCATENATE(A2,"(",C2,")")</f>
        <v>24-25(15)</v>
      </c>
      <c r="E2" s="20">
        <f>'Por año'!E29</f>
        <v>0.86670000000000003</v>
      </c>
      <c r="F2" s="56">
        <f>'Por año'!F29</f>
        <v>6.68</v>
      </c>
      <c r="G2" s="56">
        <f>'Por año'!G29</f>
        <v>7.05</v>
      </c>
      <c r="H2" s="20">
        <f>'Por año'!H29</f>
        <v>0.73660000000000003</v>
      </c>
      <c r="I2" s="56">
        <f>'Por año'!I29</f>
        <v>6.11</v>
      </c>
    </row>
    <row r="3" spans="1:10" ht="15.75" customHeight="1">
      <c r="A3" s="56" t="str">
        <f>'Por año'!A48</f>
        <v>23-24</v>
      </c>
      <c r="B3" s="56" t="str">
        <f>'Por año'!B48</f>
        <v>Química</v>
      </c>
      <c r="C3" s="19">
        <f>'Por año'!C48</f>
        <v>28</v>
      </c>
      <c r="D3" s="56" t="str">
        <f t="shared" si="0"/>
        <v>23-24(28)</v>
      </c>
      <c r="E3" s="20">
        <f>'Por año'!E48</f>
        <v>0.78569999999999995</v>
      </c>
      <c r="F3" s="56">
        <f>'Por año'!F48</f>
        <v>6.1</v>
      </c>
      <c r="G3" s="56">
        <f>'Por año'!G48</f>
        <v>7.46</v>
      </c>
      <c r="H3" s="20">
        <f>'Por año'!H48</f>
        <v>0.77969999999999995</v>
      </c>
      <c r="I3" s="56">
        <f>'Por año'!I48</f>
        <v>6.48</v>
      </c>
    </row>
    <row r="4" spans="1:10" ht="15.75" customHeight="1">
      <c r="A4" s="56" t="str">
        <f>'Por año'!A67</f>
        <v>22-23</v>
      </c>
      <c r="B4" s="56" t="str">
        <f>'Por año'!B67</f>
        <v>Química</v>
      </c>
      <c r="C4" s="19">
        <f>'Por año'!C67</f>
        <v>13</v>
      </c>
      <c r="D4" s="56" t="str">
        <f t="shared" si="0"/>
        <v>22-23(13)</v>
      </c>
      <c r="E4" s="20">
        <f>'Por año'!E67</f>
        <v>0.71430000000000005</v>
      </c>
      <c r="F4" s="56">
        <f>'Por año'!F67</f>
        <v>6.68</v>
      </c>
      <c r="G4" s="56">
        <f>'Por año'!G67</f>
        <v>6.68</v>
      </c>
      <c r="H4" s="20">
        <f>'Por año'!H67</f>
        <v>0.8145</v>
      </c>
      <c r="I4" s="56">
        <f>'Por año'!I67</f>
        <v>6.81</v>
      </c>
    </row>
    <row r="5" spans="1:10" ht="15.75" customHeight="1">
      <c r="A5" s="56" t="str">
        <f>'Por año'!A86</f>
        <v>21-22</v>
      </c>
      <c r="B5" s="56" t="str">
        <f>'Por año'!B86</f>
        <v>Química</v>
      </c>
      <c r="C5" s="19">
        <f>'Por año'!C86</f>
        <v>19</v>
      </c>
      <c r="D5" s="56" t="str">
        <f t="shared" si="0"/>
        <v>21-22(19)</v>
      </c>
      <c r="E5" s="20">
        <f>'Por año'!E86</f>
        <v>0.78949999999999998</v>
      </c>
      <c r="F5" s="56">
        <f>'Por año'!F86</f>
        <v>7.01</v>
      </c>
      <c r="G5" s="56">
        <f>'Por año'!G86</f>
        <v>7.62</v>
      </c>
      <c r="H5" s="20">
        <f>'Por año'!H86</f>
        <v>0.84809999999999997</v>
      </c>
      <c r="I5" s="56">
        <f>'Por año'!I86</f>
        <v>7.06</v>
      </c>
    </row>
    <row r="6" spans="1:10" ht="15.75" customHeight="1">
      <c r="A6" s="56" t="str">
        <f>'Por año'!A105</f>
        <v>20-21</v>
      </c>
      <c r="B6" s="56" t="str">
        <f>'Por año'!B105</f>
        <v>Química</v>
      </c>
      <c r="C6" s="19">
        <f>'Por año'!C105</f>
        <v>27</v>
      </c>
      <c r="D6" s="56" t="str">
        <f t="shared" si="0"/>
        <v>20-21(27)</v>
      </c>
      <c r="E6" s="20">
        <f>'Por año'!E105</f>
        <v>0.96299999999999997</v>
      </c>
      <c r="F6" s="56">
        <f>'Por año'!F105</f>
        <v>7.71</v>
      </c>
      <c r="G6" s="56">
        <f>'Por año'!G105</f>
        <v>7.65</v>
      </c>
      <c r="H6" s="20">
        <f>'Por año'!H105</f>
        <v>0.90310000000000001</v>
      </c>
      <c r="I6" s="56">
        <f>'Por año'!I105</f>
        <v>7.6</v>
      </c>
    </row>
    <row r="7" spans="1:10" ht="15.75" customHeight="1">
      <c r="A7" s="56" t="str">
        <f>'Por año'!A124</f>
        <v>19-20</v>
      </c>
      <c r="B7" s="56" t="str">
        <f>'Por año'!B124</f>
        <v>Química</v>
      </c>
      <c r="C7" s="19">
        <f>'Por año'!C124</f>
        <v>22</v>
      </c>
      <c r="D7" s="56" t="str">
        <f t="shared" si="0"/>
        <v>19-20(22)</v>
      </c>
      <c r="E7" s="20">
        <f>'Por año'!E124</f>
        <v>0.68179999999999996</v>
      </c>
      <c r="F7" s="56">
        <f>'Por año'!F124</f>
        <v>6.0110000000000001</v>
      </c>
      <c r="G7" s="56">
        <f>'Por año'!G124</f>
        <v>7.37</v>
      </c>
      <c r="H7" s="20">
        <f>'Por año'!H124</f>
        <v>0.69730000000000003</v>
      </c>
      <c r="I7" s="56">
        <f>'Por año'!I124</f>
        <v>6.1040000000000001</v>
      </c>
    </row>
    <row r="8" spans="1:10" ht="15.75" customHeight="1">
      <c r="A8" s="56" t="str">
        <f>'Por año'!A143</f>
        <v>18-19</v>
      </c>
      <c r="B8" s="56" t="str">
        <f>'Por año'!B143</f>
        <v>Química</v>
      </c>
      <c r="C8" s="56">
        <f>'Por año'!C143</f>
        <v>14</v>
      </c>
      <c r="D8" s="56" t="str">
        <f t="shared" si="0"/>
        <v>18-19(14)</v>
      </c>
      <c r="E8" s="20">
        <f>'Por año'!E143</f>
        <v>1</v>
      </c>
      <c r="F8" s="56">
        <f>'Por año'!F143</f>
        <v>7.1790000000000003</v>
      </c>
      <c r="G8" s="56">
        <f>'Por año'!G143</f>
        <v>7.52</v>
      </c>
      <c r="H8" s="20">
        <f>'Por año'!H143</f>
        <v>0.77290000000000003</v>
      </c>
      <c r="I8" s="56">
        <f>'Por año'!I143</f>
        <v>6.6040000000000001</v>
      </c>
    </row>
    <row r="9" spans="1:10" ht="15.75" customHeight="1">
      <c r="A9" s="56" t="str">
        <f>'Por año'!A162</f>
        <v>17-18</v>
      </c>
      <c r="B9" s="56" t="str">
        <f>'Por año'!B162</f>
        <v>Química</v>
      </c>
      <c r="C9" s="19">
        <f>'Por año'!C162</f>
        <v>14</v>
      </c>
      <c r="D9" s="56" t="str">
        <f t="shared" si="0"/>
        <v>17-18(14)</v>
      </c>
      <c r="E9" s="20">
        <f>'Por año'!E162</f>
        <v>0.85709999999999997</v>
      </c>
      <c r="F9" s="56">
        <f>'Por año'!F162</f>
        <v>6.3929999999999998</v>
      </c>
      <c r="G9" s="56">
        <f>'Por año'!G162</f>
        <v>6.57</v>
      </c>
      <c r="H9" s="20">
        <f>'Por año'!H162</f>
        <v>0.7198</v>
      </c>
      <c r="I9" s="56">
        <f>'Por año'!I162</f>
        <v>6.0940000000000003</v>
      </c>
    </row>
    <row r="10" spans="1:10" ht="15.75" customHeight="1">
      <c r="A10" s="56" t="str">
        <f>'Por año'!A181</f>
        <v>16-17</v>
      </c>
      <c r="B10" s="56" t="str">
        <f>'Por año'!B181</f>
        <v>Química</v>
      </c>
      <c r="C10" s="19">
        <f>'Por año'!C181</f>
        <v>11</v>
      </c>
      <c r="D10" s="56" t="str">
        <f t="shared" si="0"/>
        <v>16-17(11)</v>
      </c>
      <c r="E10" s="20">
        <f>'Por año'!E181</f>
        <v>0.54549999999999998</v>
      </c>
      <c r="F10" s="56">
        <f>'Por año'!F181</f>
        <v>4.5229999999999997</v>
      </c>
      <c r="G10" s="56">
        <f>'Por año'!G181</f>
        <v>6.95</v>
      </c>
      <c r="H10" s="20">
        <f>'Por año'!H181</f>
        <v>0.53610000000000002</v>
      </c>
      <c r="I10" s="56">
        <f>'Por año'!I181</f>
        <v>4.9320000000000004</v>
      </c>
    </row>
    <row r="11" spans="1:10" ht="15.75" customHeight="1">
      <c r="A11" s="56">
        <f>'Por año'!A192</f>
        <v>0</v>
      </c>
      <c r="B11" s="56">
        <f>'Por año'!B192</f>
        <v>0</v>
      </c>
      <c r="C11" s="19">
        <f>'Por año'!C192</f>
        <v>0</v>
      </c>
      <c r="E11" s="56">
        <f>'Por año'!E192</f>
        <v>0</v>
      </c>
      <c r="F11" s="56">
        <f>'Por año'!F192</f>
        <v>0</v>
      </c>
      <c r="H11" s="20">
        <f>'Por año'!H192</f>
        <v>0</v>
      </c>
      <c r="I11" s="56">
        <f>'Por año'!I192</f>
        <v>0</v>
      </c>
      <c r="J11" s="56">
        <f>'Por año'!K173</f>
        <v>0</v>
      </c>
    </row>
    <row r="12" spans="1:10" ht="15.75" customHeight="1">
      <c r="A12" s="56">
        <f>'Por año'!A193</f>
        <v>0</v>
      </c>
      <c r="B12" s="56">
        <f>'Por año'!B193</f>
        <v>0</v>
      </c>
      <c r="C12" s="19">
        <f>'Por año'!C193</f>
        <v>0</v>
      </c>
      <c r="E12" s="56">
        <f>'Por año'!E193</f>
        <v>0</v>
      </c>
      <c r="F12" s="56">
        <f>'Por año'!F193</f>
        <v>0</v>
      </c>
      <c r="H12" s="20">
        <f>'Por año'!H193</f>
        <v>0</v>
      </c>
      <c r="I12" s="56">
        <f>'Por año'!I193</f>
        <v>0</v>
      </c>
      <c r="J12" s="56">
        <f>'Por año'!K174</f>
        <v>0</v>
      </c>
    </row>
    <row r="13" spans="1:10" ht="15.75" customHeight="1">
      <c r="A13" s="56">
        <f>'Por año'!A194</f>
        <v>0</v>
      </c>
      <c r="B13" s="56">
        <f>'Por año'!B194</f>
        <v>0</v>
      </c>
      <c r="C13" s="19">
        <f>'Por año'!C194</f>
        <v>0</v>
      </c>
      <c r="E13" s="56">
        <f>'Por año'!E194</f>
        <v>0</v>
      </c>
      <c r="F13" s="56">
        <f>'Por año'!F194</f>
        <v>0</v>
      </c>
      <c r="H13" s="20">
        <f>'Por año'!H194</f>
        <v>0</v>
      </c>
      <c r="I13" s="56">
        <f>'Por año'!I194</f>
        <v>0</v>
      </c>
      <c r="J13" s="56">
        <f>'Por año'!K175</f>
        <v>0</v>
      </c>
    </row>
    <row r="14" spans="1:10" ht="15.75" customHeight="1">
      <c r="A14" s="56">
        <f>'Por año'!A195</f>
        <v>0</v>
      </c>
      <c r="B14" s="56">
        <f>'Por año'!B195</f>
        <v>0</v>
      </c>
      <c r="C14" s="19">
        <f>'Por año'!C195</f>
        <v>0</v>
      </c>
      <c r="E14" s="56">
        <f>'Por año'!E195</f>
        <v>0</v>
      </c>
      <c r="F14" s="56">
        <f>'Por año'!F195</f>
        <v>0</v>
      </c>
      <c r="H14" s="20">
        <f>'Por año'!H195</f>
        <v>0</v>
      </c>
      <c r="I14" s="56">
        <f>'Por año'!I195</f>
        <v>0</v>
      </c>
      <c r="J14" s="56">
        <f>'Por año'!K176</f>
        <v>0</v>
      </c>
    </row>
    <row r="15" spans="1:10" ht="15.75" customHeight="1">
      <c r="A15" s="56">
        <f>'Por año'!A196</f>
        <v>0</v>
      </c>
      <c r="B15" s="56">
        <f>'Por año'!B196</f>
        <v>0</v>
      </c>
      <c r="C15" s="19">
        <f>'Por año'!C196</f>
        <v>0</v>
      </c>
      <c r="E15" s="56">
        <f>'Por año'!E196</f>
        <v>0</v>
      </c>
      <c r="F15" s="56">
        <f>'Por año'!F196</f>
        <v>0</v>
      </c>
      <c r="H15" s="20">
        <f>'Por año'!H196</f>
        <v>0</v>
      </c>
      <c r="I15" s="56">
        <f>'Por año'!I196</f>
        <v>0</v>
      </c>
      <c r="J15" s="56">
        <f>'Por año'!K177</f>
        <v>0</v>
      </c>
    </row>
    <row r="16" spans="1:10" ht="15.75" customHeight="1">
      <c r="A16" s="56">
        <f>'Por año'!A197</f>
        <v>0</v>
      </c>
      <c r="B16" s="56">
        <f>'Por año'!B197</f>
        <v>0</v>
      </c>
      <c r="C16" s="19">
        <f>'Por año'!C197</f>
        <v>0</v>
      </c>
      <c r="E16" s="56">
        <f>'Por año'!E197</f>
        <v>0</v>
      </c>
      <c r="F16" s="56">
        <f>'Por año'!F197</f>
        <v>0</v>
      </c>
      <c r="H16" s="20">
        <f>'Por año'!H197</f>
        <v>0</v>
      </c>
      <c r="I16" s="56">
        <f>'Por año'!I197</f>
        <v>0</v>
      </c>
      <c r="J16" s="56">
        <f>'Por año'!K178</f>
        <v>0</v>
      </c>
    </row>
    <row r="17" spans="1:10" ht="15.75" customHeight="1">
      <c r="A17" s="56">
        <f>'Por año'!A198</f>
        <v>0</v>
      </c>
      <c r="B17" s="56">
        <f>'Por año'!B198</f>
        <v>0</v>
      </c>
      <c r="C17" s="19">
        <f>'Por año'!C198</f>
        <v>0</v>
      </c>
      <c r="E17" s="56">
        <f>'Por año'!E198</f>
        <v>0</v>
      </c>
      <c r="F17" s="56">
        <f>'Por año'!F198</f>
        <v>0</v>
      </c>
      <c r="H17" s="20">
        <f>'Por año'!H198</f>
        <v>0</v>
      </c>
      <c r="I17" s="56">
        <f>'Por año'!I198</f>
        <v>0</v>
      </c>
      <c r="J17" s="56">
        <f>'Por año'!K179</f>
        <v>0</v>
      </c>
    </row>
    <row r="18" spans="1:10" ht="15.75" customHeight="1">
      <c r="A18" s="56">
        <f>'Por año'!A199</f>
        <v>0</v>
      </c>
      <c r="B18" s="56">
        <f>'Por año'!B199</f>
        <v>0</v>
      </c>
      <c r="C18" s="19">
        <f>'Por año'!C199</f>
        <v>0</v>
      </c>
      <c r="E18" s="56">
        <f>'Por año'!E199</f>
        <v>0</v>
      </c>
      <c r="F18" s="56">
        <f>'Por año'!F199</f>
        <v>0</v>
      </c>
      <c r="H18" s="20">
        <f>'Por año'!H199</f>
        <v>0</v>
      </c>
      <c r="I18" s="56">
        <f>'Por año'!I199</f>
        <v>0</v>
      </c>
      <c r="J18" s="56">
        <f>'Por año'!K180</f>
        <v>0</v>
      </c>
    </row>
    <row r="19" spans="1:10" ht="15.75" customHeight="1">
      <c r="A19" s="56">
        <f>'Por año'!A200</f>
        <v>0</v>
      </c>
      <c r="B19" s="56">
        <f>'Por año'!B200</f>
        <v>0</v>
      </c>
      <c r="C19" s="19">
        <f>'Por año'!C200</f>
        <v>0</v>
      </c>
      <c r="E19" s="56">
        <f>'Por año'!E200</f>
        <v>0</v>
      </c>
      <c r="F19" s="56">
        <f>'Por año'!F200</f>
        <v>0</v>
      </c>
      <c r="H19" s="20">
        <f>'Por año'!H200</f>
        <v>0</v>
      </c>
      <c r="I19" s="56">
        <f>'Por año'!I200</f>
        <v>0</v>
      </c>
      <c r="J19" s="56">
        <f>'Por año'!K181</f>
        <v>0</v>
      </c>
    </row>
    <row r="20" spans="1:10" ht="15.75" customHeight="1">
      <c r="A20" s="56">
        <f>'Por año'!A201</f>
        <v>0</v>
      </c>
      <c r="B20" s="56">
        <f>'Por año'!B201</f>
        <v>0</v>
      </c>
      <c r="C20" s="19">
        <f>'Por año'!C201</f>
        <v>0</v>
      </c>
      <c r="E20" s="56">
        <f>'Por año'!E201</f>
        <v>0</v>
      </c>
      <c r="F20" s="56">
        <f>'Por año'!F201</f>
        <v>0</v>
      </c>
      <c r="H20" s="20">
        <f>'Por año'!H201</f>
        <v>0</v>
      </c>
      <c r="I20" s="56">
        <f>'Por año'!I201</f>
        <v>0</v>
      </c>
      <c r="J20" s="56">
        <f>'Por año'!K182</f>
        <v>0</v>
      </c>
    </row>
    <row r="21" spans="1:10" ht="15.75" customHeight="1">
      <c r="A21" s="56">
        <f>'Por año'!A202</f>
        <v>0</v>
      </c>
      <c r="B21" s="56">
        <f>'Por año'!B202</f>
        <v>0</v>
      </c>
      <c r="C21" s="19">
        <f>'Por año'!C202</f>
        <v>0</v>
      </c>
      <c r="E21" s="56">
        <f>'Por año'!E202</f>
        <v>0</v>
      </c>
      <c r="F21" s="56">
        <f>'Por año'!F202</f>
        <v>0</v>
      </c>
      <c r="H21" s="20">
        <f>'Por año'!H202</f>
        <v>0</v>
      </c>
      <c r="I21" s="56">
        <f>'Por año'!I202</f>
        <v>0</v>
      </c>
      <c r="J21" s="56">
        <f>'Por año'!K183</f>
        <v>0</v>
      </c>
    </row>
    <row r="22" spans="1:10" ht="15.75" customHeight="1">
      <c r="A22" s="56">
        <f>'Por año'!A203</f>
        <v>0</v>
      </c>
      <c r="B22" s="56">
        <f>'Por año'!B203</f>
        <v>0</v>
      </c>
      <c r="C22" s="19">
        <f>'Por año'!C203</f>
        <v>0</v>
      </c>
      <c r="E22" s="56">
        <f>'Por año'!E203</f>
        <v>0</v>
      </c>
      <c r="F22" s="56">
        <f>'Por año'!F203</f>
        <v>0</v>
      </c>
      <c r="H22" s="20">
        <f>'Por año'!H203</f>
        <v>0</v>
      </c>
      <c r="I22" s="56">
        <f>'Por año'!I203</f>
        <v>0</v>
      </c>
      <c r="J22" s="56">
        <f>'Por año'!K184</f>
        <v>0</v>
      </c>
    </row>
    <row r="23" spans="1:10" ht="15.75" customHeight="1">
      <c r="A23" s="56">
        <f>'Por año'!A204</f>
        <v>0</v>
      </c>
      <c r="B23" s="56">
        <f>'Por año'!B204</f>
        <v>0</v>
      </c>
      <c r="C23" s="19">
        <f>'Por año'!C204</f>
        <v>0</v>
      </c>
      <c r="E23" s="56">
        <f>'Por año'!E204</f>
        <v>0</v>
      </c>
      <c r="F23" s="56">
        <f>'Por año'!F204</f>
        <v>0</v>
      </c>
      <c r="H23" s="20">
        <f>'Por año'!H204</f>
        <v>0</v>
      </c>
      <c r="I23" s="56">
        <f>'Por año'!I204</f>
        <v>0</v>
      </c>
      <c r="J23" s="56">
        <f>'Por año'!K185</f>
        <v>0</v>
      </c>
    </row>
    <row r="24" spans="1:10" ht="15.75" customHeight="1">
      <c r="A24" s="56">
        <f>'Por año'!A205</f>
        <v>0</v>
      </c>
      <c r="B24" s="56">
        <f>'Por año'!B205</f>
        <v>0</v>
      </c>
      <c r="C24" s="19">
        <f>'Por año'!C205</f>
        <v>0</v>
      </c>
      <c r="E24" s="56">
        <f>'Por año'!E205</f>
        <v>0</v>
      </c>
      <c r="F24" s="56">
        <f>'Por año'!F205</f>
        <v>0</v>
      </c>
      <c r="H24" s="20">
        <f>'Por año'!H205</f>
        <v>0</v>
      </c>
      <c r="I24" s="56">
        <f>'Por año'!I205</f>
        <v>0</v>
      </c>
      <c r="J24" s="56">
        <f>'Por año'!K186</f>
        <v>0</v>
      </c>
    </row>
    <row r="25" spans="1:10" ht="15.75" customHeight="1">
      <c r="A25" s="56">
        <f>'Por año'!A206</f>
        <v>0</v>
      </c>
      <c r="B25" s="56">
        <f>'Por año'!B206</f>
        <v>0</v>
      </c>
      <c r="C25" s="19">
        <f>'Por año'!C206</f>
        <v>0</v>
      </c>
      <c r="E25" s="56">
        <f>'Por año'!E206</f>
        <v>0</v>
      </c>
      <c r="F25" s="56">
        <f>'Por año'!F206</f>
        <v>0</v>
      </c>
      <c r="H25" s="20">
        <f>'Por año'!H206</f>
        <v>0</v>
      </c>
      <c r="I25" s="56">
        <f>'Por año'!I206</f>
        <v>0</v>
      </c>
      <c r="J25" s="56">
        <f>'Por año'!K187</f>
        <v>0</v>
      </c>
    </row>
    <row r="26" spans="1:10" ht="15.75" customHeight="1">
      <c r="A26" s="56">
        <f>'Por año'!A207</f>
        <v>0</v>
      </c>
      <c r="B26" s="56">
        <f>'Por año'!B207</f>
        <v>0</v>
      </c>
      <c r="C26" s="19">
        <f>'Por año'!C207</f>
        <v>0</v>
      </c>
      <c r="E26" s="56">
        <f>'Por año'!E207</f>
        <v>0</v>
      </c>
      <c r="F26" s="56">
        <f>'Por año'!F207</f>
        <v>0</v>
      </c>
      <c r="H26" s="20">
        <f>'Por año'!H207</f>
        <v>0</v>
      </c>
      <c r="I26" s="56">
        <f>'Por año'!I207</f>
        <v>0</v>
      </c>
      <c r="J26" s="56">
        <f>'Por año'!K188</f>
        <v>0</v>
      </c>
    </row>
    <row r="27" spans="1:10" ht="15.75" customHeight="1">
      <c r="A27" s="56">
        <f>'Por año'!A208</f>
        <v>0</v>
      </c>
      <c r="B27" s="56">
        <f>'Por año'!B208</f>
        <v>0</v>
      </c>
      <c r="C27" s="19">
        <f>'Por año'!C208</f>
        <v>0</v>
      </c>
      <c r="E27" s="56">
        <f>'Por año'!E208</f>
        <v>0</v>
      </c>
      <c r="F27" s="56">
        <f>'Por año'!F208</f>
        <v>0</v>
      </c>
      <c r="H27" s="20">
        <f>'Por año'!H208</f>
        <v>0</v>
      </c>
      <c r="I27" s="56">
        <f>'Por año'!I208</f>
        <v>0</v>
      </c>
      <c r="J27" s="56">
        <f>'Por año'!K189</f>
        <v>0</v>
      </c>
    </row>
    <row r="28" spans="1:10" ht="15.75" customHeight="1">
      <c r="A28" s="56">
        <f>'Por año'!A209</f>
        <v>0</v>
      </c>
      <c r="B28" s="56">
        <f>'Por año'!B209</f>
        <v>0</v>
      </c>
      <c r="C28" s="19">
        <f>'Por año'!C209</f>
        <v>0</v>
      </c>
      <c r="E28" s="56">
        <f>'Por año'!E209</f>
        <v>0</v>
      </c>
      <c r="F28" s="56">
        <f>'Por año'!F209</f>
        <v>0</v>
      </c>
      <c r="H28" s="20">
        <f>'Por año'!H209</f>
        <v>0</v>
      </c>
      <c r="I28" s="56">
        <f>'Por año'!I209</f>
        <v>0</v>
      </c>
      <c r="J28" s="56">
        <f>'Por año'!K190</f>
        <v>0</v>
      </c>
    </row>
    <row r="29" spans="1:10" ht="15.75" customHeight="1">
      <c r="A29" s="56">
        <f>'Por año'!A210</f>
        <v>0</v>
      </c>
      <c r="B29" s="56">
        <f>'Por año'!B210</f>
        <v>0</v>
      </c>
      <c r="C29" s="19">
        <f>'Por año'!C210</f>
        <v>0</v>
      </c>
      <c r="E29" s="56">
        <f>'Por año'!E210</f>
        <v>0</v>
      </c>
      <c r="F29" s="56">
        <f>'Por año'!F210</f>
        <v>0</v>
      </c>
      <c r="H29" s="20">
        <f>'Por año'!H210</f>
        <v>0</v>
      </c>
      <c r="I29" s="56">
        <f>'Por año'!I210</f>
        <v>0</v>
      </c>
      <c r="J29" s="56">
        <f>'Por año'!K191</f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9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año'!A30</f>
        <v>24-25</v>
      </c>
      <c r="B2" s="56" t="str">
        <f>'Por año'!B30</f>
        <v>Biología</v>
      </c>
      <c r="C2" s="19">
        <f>'Por año'!C30</f>
        <v>11</v>
      </c>
      <c r="D2" s="56" t="str">
        <f t="shared" ref="D2:D10" si="0">CONCATENATE(A2,"(",C2,")")</f>
        <v>24-25(11)</v>
      </c>
      <c r="E2" s="20">
        <f>'Por año'!E30</f>
        <v>0.54549999999999998</v>
      </c>
      <c r="F2" s="56">
        <f>'Por año'!F30</f>
        <v>5</v>
      </c>
      <c r="G2" s="56">
        <f>'Por año'!G30</f>
        <v>7.6</v>
      </c>
      <c r="H2" s="20">
        <f>'Por año'!H30</f>
        <v>0.65129999999999999</v>
      </c>
      <c r="I2" s="56">
        <f>'Por año'!I30</f>
        <v>5.64</v>
      </c>
    </row>
    <row r="3" spans="1:10" ht="15.75" customHeight="1">
      <c r="A3" s="56" t="str">
        <f>'Por año'!A49</f>
        <v>23-24</v>
      </c>
      <c r="B3" s="56" t="str">
        <f>'Por año'!B49</f>
        <v>Biología</v>
      </c>
      <c r="C3" s="19">
        <f>'Por año'!C49</f>
        <v>10</v>
      </c>
      <c r="D3" s="56" t="str">
        <f t="shared" si="0"/>
        <v>23-24(10)</v>
      </c>
      <c r="E3" s="20">
        <f>'Por año'!E49</f>
        <v>0.63639999999999997</v>
      </c>
      <c r="F3" s="56">
        <f>'Por año'!F49</f>
        <v>5.75</v>
      </c>
      <c r="G3" s="56">
        <f>'Por año'!G49</f>
        <v>7.5</v>
      </c>
      <c r="H3" s="20">
        <f>'Por año'!H49</f>
        <v>0.76990000000000003</v>
      </c>
      <c r="I3" s="56">
        <f>'Por año'!I49</f>
        <v>6.29</v>
      </c>
    </row>
    <row r="4" spans="1:10" ht="15.75" customHeight="1">
      <c r="A4" s="56" t="str">
        <f>'Por año'!A68</f>
        <v>22-23</v>
      </c>
      <c r="B4" s="56" t="str">
        <f>'Por año'!B68</f>
        <v>Biología</v>
      </c>
      <c r="C4" s="19">
        <f>'Por año'!C68</f>
        <v>6</v>
      </c>
      <c r="D4" s="56" t="str">
        <f t="shared" si="0"/>
        <v>22-23(6)</v>
      </c>
      <c r="E4" s="20">
        <f>'Por año'!E68</f>
        <v>0.85709999999999997</v>
      </c>
      <c r="F4" s="56">
        <f>'Por año'!F68</f>
        <v>6.71</v>
      </c>
      <c r="G4" s="56">
        <f>'Por año'!G68</f>
        <v>7.86</v>
      </c>
      <c r="H4" s="20">
        <f>'Por año'!H68</f>
        <v>0.70630000000000004</v>
      </c>
      <c r="I4" s="56">
        <f>'Por año'!I68</f>
        <v>6.02</v>
      </c>
    </row>
    <row r="5" spans="1:10" ht="15.75" customHeight="1">
      <c r="A5" s="56" t="str">
        <f>'Por año'!A87</f>
        <v>21-22</v>
      </c>
      <c r="B5" s="56" t="str">
        <f>'Por año'!B87</f>
        <v>Biología</v>
      </c>
      <c r="C5" s="19">
        <f>'Por año'!C87</f>
        <v>10</v>
      </c>
      <c r="D5" s="56" t="str">
        <f t="shared" si="0"/>
        <v>21-22(10)</v>
      </c>
      <c r="E5" s="20">
        <f>'Por año'!E87</f>
        <v>0.9</v>
      </c>
      <c r="F5" s="56">
        <f>'Por año'!F87</f>
        <v>7.55</v>
      </c>
      <c r="G5" s="56">
        <f>'Por año'!G87</f>
        <v>7.76</v>
      </c>
      <c r="H5" s="20">
        <f>'Por año'!H87</f>
        <v>0.88449999999999995</v>
      </c>
      <c r="I5" s="56">
        <f>'Por año'!I87</f>
        <v>7.31</v>
      </c>
    </row>
    <row r="6" spans="1:10" ht="15.75" customHeight="1">
      <c r="A6" s="56" t="str">
        <f>'Por año'!A106</f>
        <v>20-21</v>
      </c>
      <c r="B6" s="56" t="str">
        <f>'Por año'!B106</f>
        <v>Biología</v>
      </c>
      <c r="C6" s="19">
        <f>'Por año'!C106</f>
        <v>8</v>
      </c>
      <c r="D6" s="56" t="str">
        <f t="shared" si="0"/>
        <v>20-21(8)</v>
      </c>
      <c r="E6" s="20">
        <f>'Por año'!E106</f>
        <v>1</v>
      </c>
      <c r="F6" s="56">
        <f>'Por año'!F106</f>
        <v>7.47</v>
      </c>
      <c r="G6" s="56">
        <f>'Por año'!G106</f>
        <v>7.2</v>
      </c>
      <c r="H6" s="20">
        <f>'Por año'!H106</f>
        <v>0.85009999999999997</v>
      </c>
      <c r="I6" s="56">
        <f>'Por año'!I106</f>
        <v>7.14</v>
      </c>
    </row>
    <row r="7" spans="1:10" ht="15.75" customHeight="1">
      <c r="A7" s="56" t="str">
        <f>'Por año'!A125</f>
        <v>19-20</v>
      </c>
      <c r="B7" s="56" t="str">
        <f>'Por año'!B125</f>
        <v>Biología</v>
      </c>
      <c r="C7" s="19">
        <f>'Por año'!C125</f>
        <v>11</v>
      </c>
      <c r="D7" s="56" t="str">
        <f t="shared" si="0"/>
        <v>19-20(11)</v>
      </c>
      <c r="E7" s="20">
        <f>'Por año'!E125</f>
        <v>0.90910000000000002</v>
      </c>
      <c r="F7" s="56">
        <f>'Por año'!F125</f>
        <v>7.5</v>
      </c>
      <c r="G7" s="56">
        <f>'Por año'!G125</f>
        <v>8.31</v>
      </c>
      <c r="H7" s="20">
        <f>'Por año'!H125</f>
        <v>0.71619999999999995</v>
      </c>
      <c r="I7" s="56">
        <f>'Por año'!I125</f>
        <v>6.3259999999999996</v>
      </c>
    </row>
    <row r="8" spans="1:10" ht="15.75" customHeight="1">
      <c r="A8" s="56" t="str">
        <f>'Por año'!A144</f>
        <v>18-19</v>
      </c>
      <c r="B8" s="56" t="str">
        <f>'Por año'!B144</f>
        <v>Biología</v>
      </c>
      <c r="C8" s="56">
        <f>'Por año'!C144</f>
        <v>9</v>
      </c>
      <c r="D8" s="56" t="str">
        <f t="shared" si="0"/>
        <v>18-19(9)</v>
      </c>
      <c r="E8" s="20">
        <f>'Por año'!E144</f>
        <v>0.88890000000000002</v>
      </c>
      <c r="F8" s="56">
        <f>'Por año'!F144</f>
        <v>7.306</v>
      </c>
      <c r="G8" s="56">
        <f>'Por año'!G144</f>
        <v>8</v>
      </c>
      <c r="H8" s="20">
        <f>'Por año'!H144</f>
        <v>0.78100000000000003</v>
      </c>
      <c r="I8" s="56">
        <f>'Por año'!I144</f>
        <v>6.3639999999999999</v>
      </c>
    </row>
    <row r="9" spans="1:10" ht="15.75" customHeight="1">
      <c r="A9" s="56" t="str">
        <f>'Por año'!A163</f>
        <v>17-18</v>
      </c>
      <c r="B9" s="56" t="str">
        <f>'Por año'!B163</f>
        <v>Biología</v>
      </c>
      <c r="C9" s="19">
        <f>'Por año'!C163</f>
        <v>9</v>
      </c>
      <c r="D9" s="56" t="str">
        <f t="shared" si="0"/>
        <v>17-18(9)</v>
      </c>
      <c r="E9" s="20">
        <f>'Por año'!E163</f>
        <v>0.88890000000000002</v>
      </c>
      <c r="F9" s="56">
        <f>'Por año'!F163</f>
        <v>6.7779999999999996</v>
      </c>
      <c r="G9" s="56">
        <f>'Por año'!G163</f>
        <v>7.15</v>
      </c>
      <c r="H9" s="20">
        <f>'Por año'!H163</f>
        <v>0.70850000000000002</v>
      </c>
      <c r="I9" s="56">
        <f>'Por año'!I163</f>
        <v>5.9950000000000001</v>
      </c>
    </row>
    <row r="10" spans="1:10" ht="15.75" customHeight="1">
      <c r="A10" s="56" t="str">
        <f>'Por año'!A182</f>
        <v>16-17</v>
      </c>
      <c r="B10" s="56" t="str">
        <f>'Por año'!B182</f>
        <v>Biología</v>
      </c>
      <c r="C10" s="19">
        <f>'Por año'!C182</f>
        <v>6</v>
      </c>
      <c r="D10" s="56" t="str">
        <f t="shared" si="0"/>
        <v>16-17(6)</v>
      </c>
      <c r="E10" s="20">
        <f>'Por año'!E182</f>
        <v>1</v>
      </c>
      <c r="F10" s="56">
        <f>'Por año'!F182</f>
        <v>7.2919999999999998</v>
      </c>
      <c r="G10" s="56">
        <f>'Por año'!G182</f>
        <v>7.09</v>
      </c>
      <c r="H10" s="20">
        <f>'Por año'!H182</f>
        <v>0.86329999999999996</v>
      </c>
      <c r="I10" s="56">
        <f>'Por año'!I182</f>
        <v>6.9640000000000004</v>
      </c>
    </row>
    <row r="11" spans="1:10" ht="15.75" customHeight="1">
      <c r="A11" s="56">
        <f>'Por año'!A192</f>
        <v>0</v>
      </c>
      <c r="B11" s="56">
        <f>'Por año'!B192</f>
        <v>0</v>
      </c>
      <c r="C11" s="19">
        <f>'Por año'!C192</f>
        <v>0</v>
      </c>
      <c r="E11" s="56">
        <f>'Por año'!E192</f>
        <v>0</v>
      </c>
      <c r="F11" s="56">
        <f>'Por año'!F192</f>
        <v>0</v>
      </c>
      <c r="H11" s="20">
        <f>'Por año'!H192</f>
        <v>0</v>
      </c>
      <c r="I11" s="56">
        <f>'Por año'!I192</f>
        <v>0</v>
      </c>
      <c r="J11" s="56">
        <f>'Por año'!K173</f>
        <v>0</v>
      </c>
    </row>
    <row r="12" spans="1:10" ht="15.75" customHeight="1">
      <c r="A12" s="56">
        <f>'Por año'!A193</f>
        <v>0</v>
      </c>
      <c r="B12" s="56">
        <f>'Por año'!B193</f>
        <v>0</v>
      </c>
      <c r="C12" s="19">
        <f>'Por año'!C193</f>
        <v>0</v>
      </c>
      <c r="E12" s="56">
        <f>'Por año'!E193</f>
        <v>0</v>
      </c>
      <c r="F12" s="56">
        <f>'Por año'!F193</f>
        <v>0</v>
      </c>
      <c r="H12" s="20">
        <f>'Por año'!H193</f>
        <v>0</v>
      </c>
      <c r="I12" s="56">
        <f>'Por año'!I193</f>
        <v>0</v>
      </c>
      <c r="J12" s="56">
        <f>'Por año'!K174</f>
        <v>0</v>
      </c>
    </row>
    <row r="13" spans="1:10" ht="15.75" customHeight="1">
      <c r="A13" s="56">
        <f>'Por año'!A194</f>
        <v>0</v>
      </c>
      <c r="B13" s="56">
        <f>'Por año'!B194</f>
        <v>0</v>
      </c>
      <c r="C13" s="19">
        <f>'Por año'!C194</f>
        <v>0</v>
      </c>
      <c r="E13" s="56">
        <f>'Por año'!E194</f>
        <v>0</v>
      </c>
      <c r="F13" s="56">
        <f>'Por año'!F194</f>
        <v>0</v>
      </c>
      <c r="H13" s="20">
        <f>'Por año'!H194</f>
        <v>0</v>
      </c>
      <c r="I13" s="56">
        <f>'Por año'!I194</f>
        <v>0</v>
      </c>
      <c r="J13" s="56">
        <f>'Por año'!K175</f>
        <v>0</v>
      </c>
    </row>
    <row r="14" spans="1:10" ht="15.75" customHeight="1">
      <c r="A14" s="56">
        <f>'Por año'!A195</f>
        <v>0</v>
      </c>
      <c r="B14" s="56">
        <f>'Por año'!B195</f>
        <v>0</v>
      </c>
      <c r="C14" s="19">
        <f>'Por año'!C195</f>
        <v>0</v>
      </c>
      <c r="E14" s="56">
        <f>'Por año'!E195</f>
        <v>0</v>
      </c>
      <c r="F14" s="56">
        <f>'Por año'!F195</f>
        <v>0</v>
      </c>
      <c r="H14" s="20">
        <f>'Por año'!H195</f>
        <v>0</v>
      </c>
      <c r="I14" s="56">
        <f>'Por año'!I195</f>
        <v>0</v>
      </c>
      <c r="J14" s="56">
        <f>'Por año'!K176</f>
        <v>0</v>
      </c>
    </row>
    <row r="15" spans="1:10" ht="15.75" customHeight="1">
      <c r="A15" s="56">
        <f>'Por año'!A196</f>
        <v>0</v>
      </c>
      <c r="B15" s="56">
        <f>'Por año'!B196</f>
        <v>0</v>
      </c>
      <c r="C15" s="19">
        <f>'Por año'!C196</f>
        <v>0</v>
      </c>
      <c r="E15" s="56">
        <f>'Por año'!E196</f>
        <v>0</v>
      </c>
      <c r="F15" s="56">
        <f>'Por año'!F196</f>
        <v>0</v>
      </c>
      <c r="H15" s="20">
        <f>'Por año'!H196</f>
        <v>0</v>
      </c>
      <c r="I15" s="56">
        <f>'Por año'!I196</f>
        <v>0</v>
      </c>
      <c r="J15" s="56">
        <f>'Por año'!K177</f>
        <v>0</v>
      </c>
    </row>
    <row r="16" spans="1:10" ht="15.75" customHeight="1">
      <c r="A16" s="56">
        <f>'Por año'!A197</f>
        <v>0</v>
      </c>
      <c r="B16" s="56">
        <f>'Por año'!B197</f>
        <v>0</v>
      </c>
      <c r="C16" s="19">
        <f>'Por año'!C197</f>
        <v>0</v>
      </c>
      <c r="E16" s="56">
        <f>'Por año'!E197</f>
        <v>0</v>
      </c>
      <c r="F16" s="56">
        <f>'Por año'!F197</f>
        <v>0</v>
      </c>
      <c r="H16" s="20">
        <f>'Por año'!H197</f>
        <v>0</v>
      </c>
      <c r="I16" s="56">
        <f>'Por año'!I197</f>
        <v>0</v>
      </c>
      <c r="J16" s="56">
        <f>'Por año'!K178</f>
        <v>0</v>
      </c>
    </row>
    <row r="17" spans="1:10" ht="15.75" customHeight="1">
      <c r="A17" s="56">
        <f>'Por año'!A198</f>
        <v>0</v>
      </c>
      <c r="B17" s="56">
        <f>'Por año'!B198</f>
        <v>0</v>
      </c>
      <c r="C17" s="19">
        <f>'Por año'!C198</f>
        <v>0</v>
      </c>
      <c r="E17" s="56">
        <f>'Por año'!E198</f>
        <v>0</v>
      </c>
      <c r="F17" s="56">
        <f>'Por año'!F198</f>
        <v>0</v>
      </c>
      <c r="H17" s="20">
        <f>'Por año'!H198</f>
        <v>0</v>
      </c>
      <c r="I17" s="56">
        <f>'Por año'!I198</f>
        <v>0</v>
      </c>
      <c r="J17" s="56">
        <f>'Por año'!K179</f>
        <v>0</v>
      </c>
    </row>
    <row r="18" spans="1:10" ht="15.75" customHeight="1">
      <c r="A18" s="56">
        <f>'Por año'!A199</f>
        <v>0</v>
      </c>
      <c r="B18" s="56">
        <f>'Por año'!B199</f>
        <v>0</v>
      </c>
      <c r="C18" s="19">
        <f>'Por año'!C199</f>
        <v>0</v>
      </c>
      <c r="E18" s="56">
        <f>'Por año'!E199</f>
        <v>0</v>
      </c>
      <c r="F18" s="56">
        <f>'Por año'!F199</f>
        <v>0</v>
      </c>
      <c r="H18" s="20">
        <f>'Por año'!H199</f>
        <v>0</v>
      </c>
      <c r="I18" s="56">
        <f>'Por año'!I199</f>
        <v>0</v>
      </c>
      <c r="J18" s="56">
        <f>'Por año'!K180</f>
        <v>0</v>
      </c>
    </row>
    <row r="19" spans="1:10" ht="15.75" customHeight="1">
      <c r="A19" s="56">
        <f>'Por año'!A200</f>
        <v>0</v>
      </c>
      <c r="B19" s="56">
        <f>'Por año'!B200</f>
        <v>0</v>
      </c>
      <c r="C19" s="19">
        <f>'Por año'!C200</f>
        <v>0</v>
      </c>
      <c r="E19" s="56">
        <f>'Por año'!E200</f>
        <v>0</v>
      </c>
      <c r="F19" s="56">
        <f>'Por año'!F200</f>
        <v>0</v>
      </c>
      <c r="H19" s="20">
        <f>'Por año'!H200</f>
        <v>0</v>
      </c>
      <c r="I19" s="56">
        <f>'Por año'!I200</f>
        <v>0</v>
      </c>
      <c r="J19" s="56">
        <f>'Por año'!K181</f>
        <v>0</v>
      </c>
    </row>
    <row r="20" spans="1:10" ht="15.75" customHeight="1">
      <c r="A20" s="56">
        <f>'Por año'!A201</f>
        <v>0</v>
      </c>
      <c r="B20" s="56">
        <f>'Por año'!B201</f>
        <v>0</v>
      </c>
      <c r="C20" s="19">
        <f>'Por año'!C201</f>
        <v>0</v>
      </c>
      <c r="E20" s="56">
        <f>'Por año'!E201</f>
        <v>0</v>
      </c>
      <c r="F20" s="56">
        <f>'Por año'!F201</f>
        <v>0</v>
      </c>
      <c r="H20" s="20">
        <f>'Por año'!H201</f>
        <v>0</v>
      </c>
      <c r="I20" s="56">
        <f>'Por año'!I201</f>
        <v>0</v>
      </c>
      <c r="J20" s="56">
        <f>'Por año'!K182</f>
        <v>0</v>
      </c>
    </row>
    <row r="21" spans="1:10" ht="15.75" customHeight="1">
      <c r="A21" s="56">
        <f>'Por año'!A202</f>
        <v>0</v>
      </c>
      <c r="B21" s="56">
        <f>'Por año'!B202</f>
        <v>0</v>
      </c>
      <c r="C21" s="19">
        <f>'Por año'!C202</f>
        <v>0</v>
      </c>
      <c r="E21" s="56">
        <f>'Por año'!E202</f>
        <v>0</v>
      </c>
      <c r="F21" s="56">
        <f>'Por año'!F202</f>
        <v>0</v>
      </c>
      <c r="H21" s="20">
        <f>'Por año'!H202</f>
        <v>0</v>
      </c>
      <c r="I21" s="56">
        <f>'Por año'!I202</f>
        <v>0</v>
      </c>
      <c r="J21" s="56">
        <f>'Por año'!K183</f>
        <v>0</v>
      </c>
    </row>
    <row r="22" spans="1:10" ht="15.75" customHeight="1">
      <c r="A22" s="56">
        <f>'Por año'!A203</f>
        <v>0</v>
      </c>
      <c r="B22" s="56">
        <f>'Por año'!B203</f>
        <v>0</v>
      </c>
      <c r="C22" s="19">
        <f>'Por año'!C203</f>
        <v>0</v>
      </c>
      <c r="E22" s="56">
        <f>'Por año'!E203</f>
        <v>0</v>
      </c>
      <c r="F22" s="56">
        <f>'Por año'!F203</f>
        <v>0</v>
      </c>
      <c r="H22" s="20">
        <f>'Por año'!H203</f>
        <v>0</v>
      </c>
      <c r="I22" s="56">
        <f>'Por año'!I203</f>
        <v>0</v>
      </c>
      <c r="J22" s="56">
        <f>'Por año'!K184</f>
        <v>0</v>
      </c>
    </row>
    <row r="23" spans="1:10" ht="15.75" customHeight="1">
      <c r="A23" s="56">
        <f>'Por año'!A204</f>
        <v>0</v>
      </c>
      <c r="B23" s="56">
        <f>'Por año'!B204</f>
        <v>0</v>
      </c>
      <c r="C23" s="19">
        <f>'Por año'!C204</f>
        <v>0</v>
      </c>
      <c r="E23" s="56">
        <f>'Por año'!E204</f>
        <v>0</v>
      </c>
      <c r="F23" s="56">
        <f>'Por año'!F204</f>
        <v>0</v>
      </c>
      <c r="H23" s="20">
        <f>'Por año'!H204</f>
        <v>0</v>
      </c>
      <c r="I23" s="56">
        <f>'Por año'!I204</f>
        <v>0</v>
      </c>
      <c r="J23" s="56">
        <f>'Por año'!K185</f>
        <v>0</v>
      </c>
    </row>
    <row r="24" spans="1:10" ht="15.75" customHeight="1">
      <c r="A24" s="56">
        <f>'Por año'!A205</f>
        <v>0</v>
      </c>
      <c r="B24" s="56">
        <f>'Por año'!B205</f>
        <v>0</v>
      </c>
      <c r="C24" s="19">
        <f>'Por año'!C205</f>
        <v>0</v>
      </c>
      <c r="E24" s="56">
        <f>'Por año'!E205</f>
        <v>0</v>
      </c>
      <c r="F24" s="56">
        <f>'Por año'!F205</f>
        <v>0</v>
      </c>
      <c r="H24" s="20">
        <f>'Por año'!H205</f>
        <v>0</v>
      </c>
      <c r="I24" s="56">
        <f>'Por año'!I205</f>
        <v>0</v>
      </c>
      <c r="J24" s="56">
        <f>'Por año'!K186</f>
        <v>0</v>
      </c>
    </row>
    <row r="25" spans="1:10" ht="15.75" customHeight="1">
      <c r="A25" s="56">
        <f>'Por año'!A206</f>
        <v>0</v>
      </c>
      <c r="B25" s="56">
        <f>'Por año'!B206</f>
        <v>0</v>
      </c>
      <c r="C25" s="19">
        <f>'Por año'!C206</f>
        <v>0</v>
      </c>
      <c r="E25" s="56">
        <f>'Por año'!E206</f>
        <v>0</v>
      </c>
      <c r="F25" s="56">
        <f>'Por año'!F206</f>
        <v>0</v>
      </c>
      <c r="H25" s="20">
        <f>'Por año'!H206</f>
        <v>0</v>
      </c>
      <c r="I25" s="56">
        <f>'Por año'!I206</f>
        <v>0</v>
      </c>
      <c r="J25" s="56">
        <f>'Por año'!K187</f>
        <v>0</v>
      </c>
    </row>
    <row r="26" spans="1:10" ht="15.75" customHeight="1">
      <c r="A26" s="56">
        <f>'Por año'!A207</f>
        <v>0</v>
      </c>
      <c r="B26" s="56">
        <f>'Por año'!B207</f>
        <v>0</v>
      </c>
      <c r="C26" s="19">
        <f>'Por año'!C207</f>
        <v>0</v>
      </c>
      <c r="E26" s="56">
        <f>'Por año'!E207</f>
        <v>0</v>
      </c>
      <c r="F26" s="56">
        <f>'Por año'!F207</f>
        <v>0</v>
      </c>
      <c r="H26" s="20">
        <f>'Por año'!H207</f>
        <v>0</v>
      </c>
      <c r="I26" s="56">
        <f>'Por año'!I207</f>
        <v>0</v>
      </c>
      <c r="J26" s="56">
        <f>'Por año'!K188</f>
        <v>0</v>
      </c>
    </row>
    <row r="27" spans="1:10" ht="15.75" customHeight="1">
      <c r="A27" s="56">
        <f>'Por año'!A208</f>
        <v>0</v>
      </c>
      <c r="B27" s="56">
        <f>'Por año'!B208</f>
        <v>0</v>
      </c>
      <c r="C27" s="19">
        <f>'Por año'!C208</f>
        <v>0</v>
      </c>
      <c r="E27" s="56">
        <f>'Por año'!E208</f>
        <v>0</v>
      </c>
      <c r="F27" s="56">
        <f>'Por año'!F208</f>
        <v>0</v>
      </c>
      <c r="H27" s="20">
        <f>'Por año'!H208</f>
        <v>0</v>
      </c>
      <c r="I27" s="56">
        <f>'Por año'!I208</f>
        <v>0</v>
      </c>
      <c r="J27" s="56">
        <f>'Por año'!K189</f>
        <v>0</v>
      </c>
    </row>
    <row r="28" spans="1:10" ht="15.75" customHeight="1">
      <c r="A28" s="56">
        <f>'Por año'!A209</f>
        <v>0</v>
      </c>
      <c r="B28" s="56">
        <f>'Por año'!B209</f>
        <v>0</v>
      </c>
      <c r="C28" s="19">
        <f>'Por año'!C209</f>
        <v>0</v>
      </c>
      <c r="E28" s="56">
        <f>'Por año'!E209</f>
        <v>0</v>
      </c>
      <c r="F28" s="56">
        <f>'Por año'!F209</f>
        <v>0</v>
      </c>
      <c r="H28" s="20">
        <f>'Por año'!H209</f>
        <v>0</v>
      </c>
      <c r="I28" s="56">
        <f>'Por año'!I209</f>
        <v>0</v>
      </c>
      <c r="J28" s="56">
        <f>'Por año'!K190</f>
        <v>0</v>
      </c>
    </row>
    <row r="29" spans="1:10" ht="15.75" customHeight="1">
      <c r="A29" s="56">
        <f>'Por año'!A210</f>
        <v>0</v>
      </c>
      <c r="B29" s="56">
        <f>'Por año'!B210</f>
        <v>0</v>
      </c>
      <c r="C29" s="19">
        <f>'Por año'!C210</f>
        <v>0</v>
      </c>
      <c r="E29" s="56">
        <f>'Por año'!E210</f>
        <v>0</v>
      </c>
      <c r="F29" s="56">
        <f>'Por año'!F210</f>
        <v>0</v>
      </c>
      <c r="H29" s="20">
        <f>'Por año'!H210</f>
        <v>0</v>
      </c>
      <c r="I29" s="56">
        <f>'Por año'!I210</f>
        <v>0</v>
      </c>
      <c r="J29" s="56">
        <f>'Por año'!K191</f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28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año'!A31</f>
        <v>24-25</v>
      </c>
      <c r="B2" s="56" t="str">
        <f>'Por año'!B31</f>
        <v>Dibujo Técnico</v>
      </c>
      <c r="C2" s="19">
        <f>'Por año'!C31</f>
        <v>4</v>
      </c>
      <c r="D2" s="56" t="str">
        <f t="shared" ref="D2:D10" si="0">CONCATENATE(A2,"(",C2,")")</f>
        <v>24-25(4)</v>
      </c>
      <c r="E2" s="20">
        <f>'Por año'!E31</f>
        <v>0.25</v>
      </c>
      <c r="F2" s="56">
        <f>'Por año'!F31</f>
        <v>3.31</v>
      </c>
      <c r="G2" s="56">
        <f>'Por año'!G31</f>
        <v>9.5</v>
      </c>
      <c r="H2" s="20">
        <f>'Por año'!H31</f>
        <v>0.66769999999999996</v>
      </c>
      <c r="I2" s="56">
        <f>'Por año'!I31</f>
        <v>5.79</v>
      </c>
    </row>
    <row r="3" spans="1:10" ht="15.75" customHeight="1">
      <c r="A3" s="56" t="str">
        <f>'Por año'!A50</f>
        <v>23-24</v>
      </c>
      <c r="B3" s="56" t="str">
        <f>'Por año'!B50</f>
        <v>Dibujo Técnico</v>
      </c>
      <c r="C3" s="19">
        <f>'Por año'!C50</f>
        <v>2</v>
      </c>
      <c r="D3" s="56" t="str">
        <f t="shared" si="0"/>
        <v>23-24(2)</v>
      </c>
      <c r="E3" s="20">
        <f>'Por año'!E50</f>
        <v>0.5</v>
      </c>
      <c r="F3" s="56">
        <f>'Por año'!F50</f>
        <v>5.88</v>
      </c>
      <c r="G3" s="56">
        <f>'Por año'!G50</f>
        <v>8.08</v>
      </c>
      <c r="H3" s="20">
        <f>'Por año'!H50</f>
        <v>0.84799999999999998</v>
      </c>
      <c r="I3" s="56">
        <f>'Por año'!I50</f>
        <v>7.08</v>
      </c>
    </row>
    <row r="4" spans="1:10" ht="15.75" customHeight="1">
      <c r="A4" s="56" t="str">
        <f>'Por año'!A69</f>
        <v>22-23</v>
      </c>
      <c r="B4" s="56" t="str">
        <f>'Por año'!B69</f>
        <v>Dibujo Técnico</v>
      </c>
      <c r="C4" s="19">
        <f>'Por año'!C69</f>
        <v>8</v>
      </c>
      <c r="D4" s="56" t="str">
        <f t="shared" si="0"/>
        <v>22-23(8)</v>
      </c>
      <c r="E4" s="20">
        <f>'Por año'!E69</f>
        <v>0.625</v>
      </c>
      <c r="F4" s="56">
        <f>'Por año'!F69</f>
        <v>5.53</v>
      </c>
      <c r="G4" s="56">
        <f>'Por año'!G69</f>
        <v>7.41</v>
      </c>
      <c r="H4" s="20">
        <f>'Por año'!H69</f>
        <v>0.7167</v>
      </c>
      <c r="I4" s="56">
        <f>'Por año'!I69</f>
        <v>6.15</v>
      </c>
    </row>
    <row r="5" spans="1:10" ht="15.75" customHeight="1">
      <c r="A5" s="56" t="str">
        <f>'Por año'!A88</f>
        <v>21-22</v>
      </c>
      <c r="B5" s="56" t="str">
        <f>'Por año'!B88</f>
        <v>Dibujo Técnico</v>
      </c>
      <c r="C5" s="19">
        <f>'Por año'!C88</f>
        <v>6</v>
      </c>
      <c r="D5" s="56" t="str">
        <f t="shared" si="0"/>
        <v>21-22(6)</v>
      </c>
      <c r="E5" s="20">
        <f>'Por año'!E88</f>
        <v>0.66669999999999996</v>
      </c>
      <c r="F5" s="56">
        <f>'Por año'!F88</f>
        <v>5.75</v>
      </c>
      <c r="G5" s="56">
        <f>'Por año'!G88</f>
        <v>8.1300000000000008</v>
      </c>
      <c r="H5" s="20">
        <f>'Por año'!H88</f>
        <v>0.59870000000000001</v>
      </c>
      <c r="I5" s="56">
        <f>'Por año'!I88</f>
        <v>5.45</v>
      </c>
    </row>
    <row r="6" spans="1:10" ht="15.75" customHeight="1">
      <c r="A6" s="56" t="str">
        <f>'Por año'!A107</f>
        <v>20-21</v>
      </c>
      <c r="B6" s="56" t="str">
        <f>'Por año'!B107</f>
        <v>Dibujo Técnico</v>
      </c>
      <c r="C6" s="19">
        <f>'Por año'!C107</f>
        <v>3</v>
      </c>
      <c r="D6" s="56" t="str">
        <f t="shared" si="0"/>
        <v>20-21(3)</v>
      </c>
      <c r="E6" s="20">
        <f>'Por año'!E107</f>
        <v>0.33329999999999999</v>
      </c>
      <c r="F6" s="56">
        <f>'Por año'!F107</f>
        <v>4.42</v>
      </c>
      <c r="G6" s="56">
        <f>'Por año'!G107</f>
        <v>8.5</v>
      </c>
      <c r="H6" s="20">
        <f>'Por año'!H107</f>
        <v>0.64529999999999998</v>
      </c>
      <c r="I6" s="56">
        <f>'Por año'!I107</f>
        <v>5.8</v>
      </c>
    </row>
    <row r="7" spans="1:10" ht="15.75" customHeight="1">
      <c r="A7" s="56" t="str">
        <f>'Por año'!A126</f>
        <v>19-20</v>
      </c>
      <c r="B7" s="56" t="str">
        <f>'Por año'!B126</f>
        <v>Dibujo Técnico</v>
      </c>
      <c r="C7" s="19">
        <f>'Por año'!C126</f>
        <v>7</v>
      </c>
      <c r="D7" s="56" t="str">
        <f t="shared" si="0"/>
        <v>19-20(7)</v>
      </c>
      <c r="E7" s="20">
        <f>'Por año'!E126</f>
        <v>0.85709999999999997</v>
      </c>
      <c r="F7" s="56">
        <f>'Por año'!F126</f>
        <v>6.8570000000000002</v>
      </c>
      <c r="G7" s="56">
        <f>'Por año'!G126</f>
        <v>8.43</v>
      </c>
      <c r="H7" s="20">
        <f>'Por año'!H126</f>
        <v>0.83</v>
      </c>
      <c r="I7" s="56">
        <f>'Por año'!I126</f>
        <v>7.0229999999999997</v>
      </c>
    </row>
    <row r="8" spans="1:10" ht="15.75" customHeight="1">
      <c r="A8" s="56" t="str">
        <f>'Por año'!A145</f>
        <v>18-19</v>
      </c>
      <c r="B8" s="56" t="str">
        <f>'Por año'!B145</f>
        <v>Dibujo Técnico</v>
      </c>
      <c r="C8" s="56">
        <f>'Por año'!C145</f>
        <v>4</v>
      </c>
      <c r="D8" s="56" t="str">
        <f t="shared" si="0"/>
        <v>18-19(4)</v>
      </c>
      <c r="E8" s="20">
        <f>'Por año'!E145</f>
        <v>0.5</v>
      </c>
      <c r="F8" s="56">
        <f>'Por año'!F145</f>
        <v>4.3120000000000003</v>
      </c>
      <c r="G8" s="56">
        <f>'Por año'!G145</f>
        <v>8.43</v>
      </c>
      <c r="H8" s="20">
        <f>'Por año'!H145</f>
        <v>0.4501</v>
      </c>
      <c r="I8" s="56">
        <f>'Por año'!I145</f>
        <v>4.7009999999999996</v>
      </c>
    </row>
    <row r="9" spans="1:10" ht="15.75" customHeight="1">
      <c r="A9" s="56" t="str">
        <f>'Por año'!A164</f>
        <v>17-18</v>
      </c>
      <c r="B9" s="56" t="str">
        <f>'Por año'!B164</f>
        <v>Dibujo Técnico</v>
      </c>
      <c r="C9" s="19">
        <f>'Por año'!C164</f>
        <v>6</v>
      </c>
      <c r="D9" s="56" t="str">
        <f t="shared" si="0"/>
        <v>17-18(6)</v>
      </c>
      <c r="E9" s="20">
        <f>'Por año'!E164</f>
        <v>0.5</v>
      </c>
      <c r="F9" s="56">
        <f>'Por año'!F164</f>
        <v>5.9169999999999998</v>
      </c>
      <c r="G9" s="56">
        <f>'Por año'!G164</f>
        <v>7.8</v>
      </c>
      <c r="H9" s="20">
        <f>'Por año'!H164</f>
        <v>0.6129</v>
      </c>
      <c r="I9" s="56">
        <f>'Por año'!I164</f>
        <v>5.5140000000000002</v>
      </c>
    </row>
    <row r="10" spans="1:10" ht="15.75" customHeight="1">
      <c r="A10" s="56" t="str">
        <f>'Por año'!A183</f>
        <v>16-17</v>
      </c>
      <c r="B10" s="56" t="str">
        <f>'Por año'!B183</f>
        <v>Dibujo Técnico</v>
      </c>
      <c r="C10" s="19">
        <f>'Por año'!C183</f>
        <v>2</v>
      </c>
      <c r="D10" s="56" t="str">
        <f t="shared" si="0"/>
        <v>16-17(2)</v>
      </c>
      <c r="E10" s="20">
        <f>'Por año'!E183</f>
        <v>0.5</v>
      </c>
      <c r="F10" s="56">
        <f>'Por año'!F183</f>
        <v>4.625</v>
      </c>
      <c r="G10" s="56">
        <f>'Por año'!G183</f>
        <v>7.55</v>
      </c>
      <c r="H10" s="20">
        <f>'Por año'!H183</f>
        <v>0.44819999999999999</v>
      </c>
      <c r="I10" s="56">
        <f>'Por año'!I183</f>
        <v>4.51</v>
      </c>
      <c r="J10" s="56">
        <f>'Por año'!K173</f>
        <v>0</v>
      </c>
    </row>
    <row r="11" spans="1:10" ht="15.75" customHeight="1">
      <c r="A11" s="56">
        <f>'Por año'!A193</f>
        <v>0</v>
      </c>
      <c r="B11" s="56">
        <f>'Por año'!B193</f>
        <v>0</v>
      </c>
      <c r="C11" s="19">
        <f>'Por año'!C193</f>
        <v>0</v>
      </c>
      <c r="E11" s="56">
        <f>'Por año'!E193</f>
        <v>0</v>
      </c>
      <c r="F11" s="56">
        <f>'Por año'!F193</f>
        <v>0</v>
      </c>
      <c r="H11" s="20">
        <f>'Por año'!H193</f>
        <v>0</v>
      </c>
      <c r="I11" s="56">
        <f>'Por año'!I193</f>
        <v>0</v>
      </c>
      <c r="J11" s="56">
        <f>'Por año'!K174</f>
        <v>0</v>
      </c>
    </row>
    <row r="12" spans="1:10" ht="15.75" customHeight="1">
      <c r="A12" s="56">
        <f>'Por año'!A194</f>
        <v>0</v>
      </c>
      <c r="B12" s="56">
        <f>'Por año'!B194</f>
        <v>0</v>
      </c>
      <c r="C12" s="19">
        <f>'Por año'!C194</f>
        <v>0</v>
      </c>
      <c r="E12" s="56">
        <f>'Por año'!E194</f>
        <v>0</v>
      </c>
      <c r="F12" s="56">
        <f>'Por año'!F194</f>
        <v>0</v>
      </c>
      <c r="H12" s="20">
        <f>'Por año'!H194</f>
        <v>0</v>
      </c>
      <c r="I12" s="56">
        <f>'Por año'!I194</f>
        <v>0</v>
      </c>
      <c r="J12" s="56">
        <f>'Por año'!K175</f>
        <v>0</v>
      </c>
    </row>
    <row r="13" spans="1:10" ht="15.75" customHeight="1">
      <c r="A13" s="56">
        <f>'Por año'!A195</f>
        <v>0</v>
      </c>
      <c r="B13" s="56">
        <f>'Por año'!B195</f>
        <v>0</v>
      </c>
      <c r="C13" s="19">
        <f>'Por año'!C195</f>
        <v>0</v>
      </c>
      <c r="E13" s="56">
        <f>'Por año'!E195</f>
        <v>0</v>
      </c>
      <c r="F13" s="56">
        <f>'Por año'!F195</f>
        <v>0</v>
      </c>
      <c r="H13" s="20">
        <f>'Por año'!H195</f>
        <v>0</v>
      </c>
      <c r="I13" s="56">
        <f>'Por año'!I195</f>
        <v>0</v>
      </c>
      <c r="J13" s="56">
        <f>'Por año'!K176</f>
        <v>0</v>
      </c>
    </row>
    <row r="14" spans="1:10" ht="15.75" customHeight="1">
      <c r="A14" s="56">
        <f>'Por año'!A196</f>
        <v>0</v>
      </c>
      <c r="B14" s="56">
        <f>'Por año'!B196</f>
        <v>0</v>
      </c>
      <c r="C14" s="19">
        <f>'Por año'!C196</f>
        <v>0</v>
      </c>
      <c r="E14" s="56">
        <f>'Por año'!E196</f>
        <v>0</v>
      </c>
      <c r="F14" s="56">
        <f>'Por año'!F196</f>
        <v>0</v>
      </c>
      <c r="H14" s="20">
        <f>'Por año'!H196</f>
        <v>0</v>
      </c>
      <c r="I14" s="56">
        <f>'Por año'!I196</f>
        <v>0</v>
      </c>
      <c r="J14" s="56">
        <f>'Por año'!K177</f>
        <v>0</v>
      </c>
    </row>
    <row r="15" spans="1:10" ht="15.75" customHeight="1">
      <c r="A15" s="56">
        <f>'Por año'!A197</f>
        <v>0</v>
      </c>
      <c r="B15" s="56">
        <f>'Por año'!B197</f>
        <v>0</v>
      </c>
      <c r="C15" s="19">
        <f>'Por año'!C197</f>
        <v>0</v>
      </c>
      <c r="E15" s="56">
        <f>'Por año'!E197</f>
        <v>0</v>
      </c>
      <c r="F15" s="56">
        <f>'Por año'!F197</f>
        <v>0</v>
      </c>
      <c r="H15" s="20">
        <f>'Por año'!H197</f>
        <v>0</v>
      </c>
      <c r="I15" s="56">
        <f>'Por año'!I197</f>
        <v>0</v>
      </c>
      <c r="J15" s="56">
        <f>'Por año'!K178</f>
        <v>0</v>
      </c>
    </row>
    <row r="16" spans="1:10" ht="15.75" customHeight="1">
      <c r="A16" s="56">
        <f>'Por año'!A198</f>
        <v>0</v>
      </c>
      <c r="B16" s="56">
        <f>'Por año'!B198</f>
        <v>0</v>
      </c>
      <c r="C16" s="19">
        <f>'Por año'!C198</f>
        <v>0</v>
      </c>
      <c r="E16" s="56">
        <f>'Por año'!E198</f>
        <v>0</v>
      </c>
      <c r="F16" s="56">
        <f>'Por año'!F198</f>
        <v>0</v>
      </c>
      <c r="H16" s="20">
        <f>'Por año'!H198</f>
        <v>0</v>
      </c>
      <c r="I16" s="56">
        <f>'Por año'!I198</f>
        <v>0</v>
      </c>
      <c r="J16" s="56">
        <f>'Por año'!K179</f>
        <v>0</v>
      </c>
    </row>
    <row r="17" spans="1:10" ht="15.75" customHeight="1">
      <c r="A17" s="56">
        <f>'Por año'!A199</f>
        <v>0</v>
      </c>
      <c r="B17" s="56">
        <f>'Por año'!B199</f>
        <v>0</v>
      </c>
      <c r="C17" s="19">
        <f>'Por año'!C199</f>
        <v>0</v>
      </c>
      <c r="E17" s="56">
        <f>'Por año'!E199</f>
        <v>0</v>
      </c>
      <c r="F17" s="56">
        <f>'Por año'!F199</f>
        <v>0</v>
      </c>
      <c r="H17" s="20">
        <f>'Por año'!H199</f>
        <v>0</v>
      </c>
      <c r="I17" s="56">
        <f>'Por año'!I199</f>
        <v>0</v>
      </c>
      <c r="J17" s="56">
        <f>'Por año'!K180</f>
        <v>0</v>
      </c>
    </row>
    <row r="18" spans="1:10" ht="15.75" customHeight="1">
      <c r="A18" s="56">
        <f>'Por año'!A200</f>
        <v>0</v>
      </c>
      <c r="B18" s="56">
        <f>'Por año'!B200</f>
        <v>0</v>
      </c>
      <c r="C18" s="19">
        <f>'Por año'!C200</f>
        <v>0</v>
      </c>
      <c r="E18" s="56">
        <f>'Por año'!E200</f>
        <v>0</v>
      </c>
      <c r="F18" s="56">
        <f>'Por año'!F200</f>
        <v>0</v>
      </c>
      <c r="H18" s="20">
        <f>'Por año'!H200</f>
        <v>0</v>
      </c>
      <c r="I18" s="56">
        <f>'Por año'!I200</f>
        <v>0</v>
      </c>
      <c r="J18" s="56">
        <f>'Por año'!K181</f>
        <v>0</v>
      </c>
    </row>
    <row r="19" spans="1:10" ht="15.75" customHeight="1">
      <c r="A19" s="56">
        <f>'Por año'!A201</f>
        <v>0</v>
      </c>
      <c r="B19" s="56">
        <f>'Por año'!B201</f>
        <v>0</v>
      </c>
      <c r="C19" s="19">
        <f>'Por año'!C201</f>
        <v>0</v>
      </c>
      <c r="E19" s="56">
        <f>'Por año'!E201</f>
        <v>0</v>
      </c>
      <c r="F19" s="56">
        <f>'Por año'!F201</f>
        <v>0</v>
      </c>
      <c r="H19" s="20">
        <f>'Por año'!H201</f>
        <v>0</v>
      </c>
      <c r="I19" s="56">
        <f>'Por año'!I201</f>
        <v>0</v>
      </c>
      <c r="J19" s="56">
        <f>'Por año'!K182</f>
        <v>0</v>
      </c>
    </row>
    <row r="20" spans="1:10" ht="15.75" customHeight="1">
      <c r="A20" s="56">
        <f>'Por año'!A202</f>
        <v>0</v>
      </c>
      <c r="B20" s="56">
        <f>'Por año'!B202</f>
        <v>0</v>
      </c>
      <c r="C20" s="19">
        <f>'Por año'!C202</f>
        <v>0</v>
      </c>
      <c r="E20" s="56">
        <f>'Por año'!E202</f>
        <v>0</v>
      </c>
      <c r="F20" s="56">
        <f>'Por año'!F202</f>
        <v>0</v>
      </c>
      <c r="H20" s="20">
        <f>'Por año'!H202</f>
        <v>0</v>
      </c>
      <c r="I20" s="56">
        <f>'Por año'!I202</f>
        <v>0</v>
      </c>
      <c r="J20" s="56">
        <f>'Por año'!K183</f>
        <v>0</v>
      </c>
    </row>
    <row r="21" spans="1:10" ht="15.75" customHeight="1">
      <c r="A21" s="56">
        <f>'Por año'!A203</f>
        <v>0</v>
      </c>
      <c r="B21" s="56">
        <f>'Por año'!B203</f>
        <v>0</v>
      </c>
      <c r="C21" s="19">
        <f>'Por año'!C203</f>
        <v>0</v>
      </c>
      <c r="E21" s="56">
        <f>'Por año'!E203</f>
        <v>0</v>
      </c>
      <c r="F21" s="56">
        <f>'Por año'!F203</f>
        <v>0</v>
      </c>
      <c r="H21" s="20">
        <f>'Por año'!H203</f>
        <v>0</v>
      </c>
      <c r="I21" s="56">
        <f>'Por año'!I203</f>
        <v>0</v>
      </c>
      <c r="J21" s="56">
        <f>'Por año'!K184</f>
        <v>0</v>
      </c>
    </row>
    <row r="22" spans="1:10" ht="15.75" customHeight="1">
      <c r="A22" s="56">
        <f>'Por año'!A204</f>
        <v>0</v>
      </c>
      <c r="B22" s="56">
        <f>'Por año'!B204</f>
        <v>0</v>
      </c>
      <c r="C22" s="19">
        <f>'Por año'!C204</f>
        <v>0</v>
      </c>
      <c r="E22" s="56">
        <f>'Por año'!E204</f>
        <v>0</v>
      </c>
      <c r="F22" s="56">
        <f>'Por año'!F204</f>
        <v>0</v>
      </c>
      <c r="H22" s="20">
        <f>'Por año'!H204</f>
        <v>0</v>
      </c>
      <c r="I22" s="56">
        <f>'Por año'!I204</f>
        <v>0</v>
      </c>
      <c r="J22" s="56">
        <f>'Por año'!K185</f>
        <v>0</v>
      </c>
    </row>
    <row r="23" spans="1:10" ht="15.75" customHeight="1">
      <c r="A23" s="56">
        <f>'Por año'!A205</f>
        <v>0</v>
      </c>
      <c r="B23" s="56">
        <f>'Por año'!B205</f>
        <v>0</v>
      </c>
      <c r="C23" s="19">
        <f>'Por año'!C205</f>
        <v>0</v>
      </c>
      <c r="E23" s="56">
        <f>'Por año'!E205</f>
        <v>0</v>
      </c>
      <c r="F23" s="56">
        <f>'Por año'!F205</f>
        <v>0</v>
      </c>
      <c r="H23" s="20">
        <f>'Por año'!H205</f>
        <v>0</v>
      </c>
      <c r="I23" s="56">
        <f>'Por año'!I205</f>
        <v>0</v>
      </c>
      <c r="J23" s="56">
        <f>'Por año'!K186</f>
        <v>0</v>
      </c>
    </row>
    <row r="24" spans="1:10" ht="15.75" customHeight="1">
      <c r="A24" s="56">
        <f>'Por año'!A206</f>
        <v>0</v>
      </c>
      <c r="B24" s="56">
        <f>'Por año'!B206</f>
        <v>0</v>
      </c>
      <c r="C24" s="19">
        <f>'Por año'!C206</f>
        <v>0</v>
      </c>
      <c r="E24" s="56">
        <f>'Por año'!E206</f>
        <v>0</v>
      </c>
      <c r="F24" s="56">
        <f>'Por año'!F206</f>
        <v>0</v>
      </c>
      <c r="H24" s="20">
        <f>'Por año'!H206</f>
        <v>0</v>
      </c>
      <c r="I24" s="56">
        <f>'Por año'!I206</f>
        <v>0</v>
      </c>
      <c r="J24" s="56">
        <f>'Por año'!K187</f>
        <v>0</v>
      </c>
    </row>
    <row r="25" spans="1:10" ht="15.75" customHeight="1">
      <c r="A25" s="56">
        <f>'Por año'!A207</f>
        <v>0</v>
      </c>
      <c r="B25" s="56">
        <f>'Por año'!B207</f>
        <v>0</v>
      </c>
      <c r="C25" s="19">
        <f>'Por año'!C207</f>
        <v>0</v>
      </c>
      <c r="E25" s="56">
        <f>'Por año'!E207</f>
        <v>0</v>
      </c>
      <c r="F25" s="56">
        <f>'Por año'!F207</f>
        <v>0</v>
      </c>
      <c r="H25" s="20">
        <f>'Por año'!H207</f>
        <v>0</v>
      </c>
      <c r="I25" s="56">
        <f>'Por año'!I207</f>
        <v>0</v>
      </c>
      <c r="J25" s="56">
        <f>'Por año'!K188</f>
        <v>0</v>
      </c>
    </row>
    <row r="26" spans="1:10" ht="15.75" customHeight="1">
      <c r="A26" s="56">
        <f>'Por año'!A208</f>
        <v>0</v>
      </c>
      <c r="B26" s="56">
        <f>'Por año'!B208</f>
        <v>0</v>
      </c>
      <c r="C26" s="19">
        <f>'Por año'!C208</f>
        <v>0</v>
      </c>
      <c r="E26" s="56">
        <f>'Por año'!E208</f>
        <v>0</v>
      </c>
      <c r="F26" s="56">
        <f>'Por año'!F208</f>
        <v>0</v>
      </c>
      <c r="H26" s="20">
        <f>'Por año'!H208</f>
        <v>0</v>
      </c>
      <c r="I26" s="56">
        <f>'Por año'!I208</f>
        <v>0</v>
      </c>
      <c r="J26" s="56">
        <f>'Por año'!K189</f>
        <v>0</v>
      </c>
    </row>
    <row r="27" spans="1:10" ht="15.75" customHeight="1">
      <c r="A27" s="56">
        <f>'Por año'!A209</f>
        <v>0</v>
      </c>
      <c r="B27" s="56">
        <f>'Por año'!B209</f>
        <v>0</v>
      </c>
      <c r="C27" s="19">
        <f>'Por año'!C209</f>
        <v>0</v>
      </c>
      <c r="E27" s="56">
        <f>'Por año'!E209</f>
        <v>0</v>
      </c>
      <c r="F27" s="56">
        <f>'Por año'!F209</f>
        <v>0</v>
      </c>
      <c r="H27" s="20">
        <f>'Por año'!H209</f>
        <v>0</v>
      </c>
      <c r="I27" s="56">
        <f>'Por año'!I209</f>
        <v>0</v>
      </c>
      <c r="J27" s="56">
        <f>'Por año'!K190</f>
        <v>0</v>
      </c>
    </row>
    <row r="28" spans="1:10" ht="15.75" customHeight="1">
      <c r="A28" s="56">
        <f>'Por año'!A210</f>
        <v>0</v>
      </c>
      <c r="B28" s="56">
        <f>'Por año'!B210</f>
        <v>0</v>
      </c>
      <c r="C28" s="19">
        <f>'Por año'!C210</f>
        <v>0</v>
      </c>
      <c r="E28" s="56">
        <f>'Por año'!E210</f>
        <v>0</v>
      </c>
      <c r="F28" s="56">
        <f>'Por año'!F210</f>
        <v>0</v>
      </c>
      <c r="H28" s="20">
        <f>'Por año'!H210</f>
        <v>0</v>
      </c>
      <c r="I28" s="56">
        <f>'Por año'!I210</f>
        <v>0</v>
      </c>
      <c r="J28" s="56">
        <f>'Por año'!K191</f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27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año'!A32</f>
        <v>24-25</v>
      </c>
      <c r="B2" s="56" t="str">
        <f>'Por año'!B32</f>
        <v>Economía</v>
      </c>
      <c r="C2" s="19">
        <f>'Por año'!C32</f>
        <v>5</v>
      </c>
      <c r="D2" s="56" t="str">
        <f t="shared" ref="D2:D10" si="0">CONCATENATE(A2,"(",C2,")")</f>
        <v>24-25(5)</v>
      </c>
      <c r="E2" s="20">
        <f>'Por año'!E32</f>
        <v>1</v>
      </c>
      <c r="F2" s="56">
        <f>'Por año'!F32</f>
        <v>6.1</v>
      </c>
      <c r="G2" s="56">
        <f>'Por año'!G32</f>
        <v>6</v>
      </c>
      <c r="H2" s="20">
        <f>'Por año'!H32</f>
        <v>0.76219999999999999</v>
      </c>
      <c r="I2" s="56">
        <f>'Por año'!I32</f>
        <v>6.22</v>
      </c>
    </row>
    <row r="3" spans="1:10" ht="15.75" customHeight="1">
      <c r="A3" s="56" t="str">
        <f>'Por año'!A51</f>
        <v>23-24</v>
      </c>
      <c r="B3" s="56" t="str">
        <f>'Por año'!B51</f>
        <v>Economía</v>
      </c>
      <c r="C3" s="19">
        <f>'Por año'!C51</f>
        <v>8</v>
      </c>
      <c r="D3" s="56" t="str">
        <f t="shared" si="0"/>
        <v>23-24(8)</v>
      </c>
      <c r="E3" s="20">
        <f>'Por año'!E51</f>
        <v>0.75</v>
      </c>
      <c r="F3" s="56">
        <f>'Por año'!F51</f>
        <v>5.94</v>
      </c>
      <c r="G3" s="56">
        <f>'Por año'!G51</f>
        <v>6.56</v>
      </c>
      <c r="H3" s="20">
        <f>'Por año'!H51</f>
        <v>0.79469999999999996</v>
      </c>
      <c r="I3" s="56">
        <f>'Por año'!I51</f>
        <v>6.6</v>
      </c>
    </row>
    <row r="4" spans="1:10" ht="15.75" customHeight="1">
      <c r="A4" s="56" t="str">
        <f>'Por año'!A70</f>
        <v>22-23</v>
      </c>
      <c r="B4" s="56" t="str">
        <f>'Por año'!B70</f>
        <v>Economía</v>
      </c>
      <c r="C4" s="19">
        <f>'Por año'!C70</f>
        <v>11</v>
      </c>
      <c r="D4" s="56" t="str">
        <f t="shared" si="0"/>
        <v>22-23(11)</v>
      </c>
      <c r="E4" s="20">
        <f>'Por año'!E70</f>
        <v>0.90910000000000002</v>
      </c>
      <c r="F4" s="56">
        <f>'Por año'!F70</f>
        <v>8.23</v>
      </c>
      <c r="G4" s="56">
        <f>'Por año'!G70</f>
        <v>7</v>
      </c>
      <c r="H4" s="20">
        <f>'Por año'!H70</f>
        <v>0.76500000000000001</v>
      </c>
      <c r="I4" s="56">
        <f>'Por año'!I70</f>
        <v>6.5</v>
      </c>
    </row>
    <row r="5" spans="1:10" ht="15.75" customHeight="1">
      <c r="A5" s="56" t="str">
        <f>'Por año'!A89</f>
        <v>21-22</v>
      </c>
      <c r="B5" s="56" t="str">
        <f>'Por año'!B89</f>
        <v>Economía</v>
      </c>
      <c r="C5" s="19">
        <f>'Por año'!C89</f>
        <v>10</v>
      </c>
      <c r="D5" s="56" t="str">
        <f t="shared" si="0"/>
        <v>21-22(10)</v>
      </c>
      <c r="E5" s="20">
        <f>'Por año'!E89</f>
        <v>0.9</v>
      </c>
      <c r="F5" s="56">
        <f>'Por año'!F89</f>
        <v>7.9</v>
      </c>
      <c r="G5" s="56">
        <f>'Por año'!G89</f>
        <v>6.32</v>
      </c>
      <c r="H5" s="20">
        <f>'Por año'!H89</f>
        <v>0.84099999999999997</v>
      </c>
      <c r="I5" s="56">
        <f>'Por año'!I89</f>
        <v>7.02</v>
      </c>
    </row>
    <row r="6" spans="1:10" ht="15.75" customHeight="1">
      <c r="A6" s="56" t="str">
        <f>'Por año'!A108</f>
        <v>20-21</v>
      </c>
      <c r="B6" s="56" t="str">
        <f>'Por año'!B108</f>
        <v>Economía</v>
      </c>
      <c r="C6" s="19">
        <f>'Por año'!C108</f>
        <v>14</v>
      </c>
      <c r="D6" s="56" t="str">
        <f t="shared" si="0"/>
        <v>20-21(14)</v>
      </c>
      <c r="E6" s="20">
        <f>'Por año'!E108</f>
        <v>1</v>
      </c>
      <c r="F6" s="56">
        <f>'Por año'!F108</f>
        <v>8.18</v>
      </c>
      <c r="G6" s="56">
        <f>'Por año'!G108</f>
        <v>6.44</v>
      </c>
      <c r="H6" s="20">
        <f>'Por año'!H108</f>
        <v>0.82809999999999995</v>
      </c>
      <c r="I6" s="56">
        <f>'Por año'!I108</f>
        <v>7.01</v>
      </c>
    </row>
    <row r="7" spans="1:10" ht="15.75" customHeight="1">
      <c r="A7" s="56" t="str">
        <f>'Por año'!A127</f>
        <v>19-20</v>
      </c>
      <c r="B7" s="56" t="str">
        <f>'Por año'!B127</f>
        <v>Economía</v>
      </c>
      <c r="C7" s="19">
        <f>'Por año'!C127</f>
        <v>13</v>
      </c>
      <c r="D7" s="56" t="str">
        <f t="shared" si="0"/>
        <v>19-20(13)</v>
      </c>
      <c r="E7" s="20">
        <f>'Por año'!E127</f>
        <v>0.84619999999999995</v>
      </c>
      <c r="F7" s="56">
        <f>'Por año'!F127</f>
        <v>7.577</v>
      </c>
      <c r="G7" s="56">
        <f>'Por año'!G127</f>
        <v>7.28</v>
      </c>
      <c r="H7" s="20">
        <f>'Por año'!H127</f>
        <v>0.77400000000000002</v>
      </c>
      <c r="I7" s="56">
        <f>'Por año'!I127</f>
        <v>6.5250000000000004</v>
      </c>
    </row>
    <row r="8" spans="1:10" ht="15.75" customHeight="1">
      <c r="A8" s="56" t="str">
        <f>'Por año'!A146</f>
        <v>18-19</v>
      </c>
      <c r="B8" s="56" t="str">
        <f>'Por año'!B146</f>
        <v>Economía</v>
      </c>
      <c r="C8" s="56">
        <f>'Por año'!C146</f>
        <v>14</v>
      </c>
      <c r="D8" s="56" t="str">
        <f t="shared" si="0"/>
        <v>18-19(14)</v>
      </c>
      <c r="E8" s="20">
        <f>'Por año'!E146</f>
        <v>0.64290000000000003</v>
      </c>
      <c r="F8" s="56">
        <f>'Por año'!F146</f>
        <v>4.9290000000000003</v>
      </c>
      <c r="G8" s="56">
        <f>'Por año'!G146</f>
        <v>6.08</v>
      </c>
      <c r="H8" s="20">
        <f>'Por año'!H146</f>
        <v>0.58650000000000002</v>
      </c>
      <c r="I8" s="56">
        <f>'Por año'!I146</f>
        <v>5.3979999999999997</v>
      </c>
    </row>
    <row r="9" spans="1:10" ht="15.75" customHeight="1">
      <c r="A9" s="56" t="str">
        <f>'Por año'!A165</f>
        <v>17-18</v>
      </c>
      <c r="B9" s="56" t="str">
        <f>'Por año'!B165</f>
        <v>Economía</v>
      </c>
      <c r="C9" s="19">
        <f>'Por año'!C165</f>
        <v>7</v>
      </c>
      <c r="D9" s="56" t="str">
        <f t="shared" si="0"/>
        <v>17-18(7)</v>
      </c>
      <c r="E9" s="20">
        <f>'Por año'!E165</f>
        <v>0.85709999999999997</v>
      </c>
      <c r="F9" s="56">
        <f>'Por año'!F165</f>
        <v>7.6429999999999998</v>
      </c>
      <c r="G9" s="56">
        <f>'Por año'!G165</f>
        <v>6</v>
      </c>
      <c r="H9" s="20">
        <f>'Por año'!H165</f>
        <v>0.71009999999999995</v>
      </c>
      <c r="I9" s="56">
        <f>'Por año'!I165</f>
        <v>6.1849999999999996</v>
      </c>
    </row>
    <row r="10" spans="1:10" ht="15.75" customHeight="1">
      <c r="A10" s="56" t="str">
        <f>'Por año'!A184</f>
        <v>16-17</v>
      </c>
      <c r="B10" s="56" t="str">
        <f>'Por año'!B184</f>
        <v>Economía</v>
      </c>
      <c r="C10" s="19">
        <f>'Por año'!C184</f>
        <v>12</v>
      </c>
      <c r="D10" s="56" t="str">
        <f t="shared" si="0"/>
        <v>16-17(12)</v>
      </c>
      <c r="E10" s="20">
        <f>'Por año'!E184</f>
        <v>1</v>
      </c>
      <c r="F10" s="56">
        <f>'Por año'!F184</f>
        <v>7.5830000000000002</v>
      </c>
      <c r="G10" s="56">
        <f>'Por año'!G184</f>
        <v>6.72</v>
      </c>
      <c r="H10" s="20">
        <f>'Por año'!H184</f>
        <v>0.69869999999999999</v>
      </c>
      <c r="I10" s="56">
        <f>'Por año'!I184</f>
        <v>5.7930000000000001</v>
      </c>
      <c r="J10" s="56">
        <f>'Por año'!K174</f>
        <v>0</v>
      </c>
    </row>
    <row r="11" spans="1:10" ht="15.75" customHeight="1">
      <c r="A11" s="56">
        <f>'Por año'!A194</f>
        <v>0</v>
      </c>
      <c r="B11" s="56">
        <f>'Por año'!B194</f>
        <v>0</v>
      </c>
      <c r="C11" s="19">
        <f>'Por año'!C194</f>
        <v>0</v>
      </c>
      <c r="E11" s="56">
        <f>'Por año'!E194</f>
        <v>0</v>
      </c>
      <c r="F11" s="56">
        <f>'Por año'!F194</f>
        <v>0</v>
      </c>
      <c r="H11" s="20">
        <f>'Por año'!H194</f>
        <v>0</v>
      </c>
      <c r="I11" s="56">
        <f>'Por año'!I194</f>
        <v>0</v>
      </c>
      <c r="J11" s="56">
        <f>'Por año'!K175</f>
        <v>0</v>
      </c>
    </row>
    <row r="12" spans="1:10" ht="15.75" customHeight="1">
      <c r="A12" s="56">
        <f>'Por año'!A195</f>
        <v>0</v>
      </c>
      <c r="B12" s="56">
        <f>'Por año'!B195</f>
        <v>0</v>
      </c>
      <c r="C12" s="19">
        <f>'Por año'!C195</f>
        <v>0</v>
      </c>
      <c r="E12" s="56">
        <f>'Por año'!E195</f>
        <v>0</v>
      </c>
      <c r="F12" s="56">
        <f>'Por año'!F195</f>
        <v>0</v>
      </c>
      <c r="H12" s="20">
        <f>'Por año'!H195</f>
        <v>0</v>
      </c>
      <c r="I12" s="56">
        <f>'Por año'!I195</f>
        <v>0</v>
      </c>
      <c r="J12" s="56">
        <f>'Por año'!K176</f>
        <v>0</v>
      </c>
    </row>
    <row r="13" spans="1:10" ht="15.75" customHeight="1">
      <c r="A13" s="56">
        <f>'Por año'!A196</f>
        <v>0</v>
      </c>
      <c r="B13" s="56">
        <f>'Por año'!B196</f>
        <v>0</v>
      </c>
      <c r="C13" s="19">
        <f>'Por año'!C196</f>
        <v>0</v>
      </c>
      <c r="E13" s="56">
        <f>'Por año'!E196</f>
        <v>0</v>
      </c>
      <c r="F13" s="56">
        <f>'Por año'!F196</f>
        <v>0</v>
      </c>
      <c r="H13" s="20">
        <f>'Por año'!H196</f>
        <v>0</v>
      </c>
      <c r="I13" s="56">
        <f>'Por año'!I196</f>
        <v>0</v>
      </c>
      <c r="J13" s="56">
        <f>'Por año'!K177</f>
        <v>0</v>
      </c>
    </row>
    <row r="14" spans="1:10" ht="15.75" customHeight="1">
      <c r="A14" s="56">
        <f>'Por año'!A197</f>
        <v>0</v>
      </c>
      <c r="B14" s="56">
        <f>'Por año'!B197</f>
        <v>0</v>
      </c>
      <c r="C14" s="19">
        <f>'Por año'!C197</f>
        <v>0</v>
      </c>
      <c r="E14" s="56">
        <f>'Por año'!E197</f>
        <v>0</v>
      </c>
      <c r="F14" s="56">
        <f>'Por año'!F197</f>
        <v>0</v>
      </c>
      <c r="H14" s="20">
        <f>'Por año'!H197</f>
        <v>0</v>
      </c>
      <c r="I14" s="56">
        <f>'Por año'!I197</f>
        <v>0</v>
      </c>
      <c r="J14" s="56">
        <f>'Por año'!K178</f>
        <v>0</v>
      </c>
    </row>
    <row r="15" spans="1:10" ht="15.75" customHeight="1">
      <c r="A15" s="56">
        <f>'Por año'!A198</f>
        <v>0</v>
      </c>
      <c r="B15" s="56">
        <f>'Por año'!B198</f>
        <v>0</v>
      </c>
      <c r="C15" s="19">
        <f>'Por año'!C198</f>
        <v>0</v>
      </c>
      <c r="E15" s="56">
        <f>'Por año'!E198</f>
        <v>0</v>
      </c>
      <c r="F15" s="56">
        <f>'Por año'!F198</f>
        <v>0</v>
      </c>
      <c r="H15" s="20">
        <f>'Por año'!H198</f>
        <v>0</v>
      </c>
      <c r="I15" s="56">
        <f>'Por año'!I198</f>
        <v>0</v>
      </c>
      <c r="J15" s="56">
        <f>'Por año'!K179</f>
        <v>0</v>
      </c>
    </row>
    <row r="16" spans="1:10" ht="15.75" customHeight="1">
      <c r="A16" s="56">
        <f>'Por año'!A199</f>
        <v>0</v>
      </c>
      <c r="B16" s="56">
        <f>'Por año'!B199</f>
        <v>0</v>
      </c>
      <c r="C16" s="19">
        <f>'Por año'!C199</f>
        <v>0</v>
      </c>
      <c r="E16" s="56">
        <f>'Por año'!E199</f>
        <v>0</v>
      </c>
      <c r="F16" s="56">
        <f>'Por año'!F199</f>
        <v>0</v>
      </c>
      <c r="H16" s="20">
        <f>'Por año'!H199</f>
        <v>0</v>
      </c>
      <c r="I16" s="56">
        <f>'Por año'!I199</f>
        <v>0</v>
      </c>
      <c r="J16" s="56">
        <f>'Por año'!K180</f>
        <v>0</v>
      </c>
    </row>
    <row r="17" spans="1:10" ht="15.75" customHeight="1">
      <c r="A17" s="56">
        <f>'Por año'!A200</f>
        <v>0</v>
      </c>
      <c r="B17" s="56">
        <f>'Por año'!B200</f>
        <v>0</v>
      </c>
      <c r="C17" s="19">
        <f>'Por año'!C200</f>
        <v>0</v>
      </c>
      <c r="E17" s="56">
        <f>'Por año'!E200</f>
        <v>0</v>
      </c>
      <c r="F17" s="56">
        <f>'Por año'!F200</f>
        <v>0</v>
      </c>
      <c r="H17" s="20">
        <f>'Por año'!H200</f>
        <v>0</v>
      </c>
      <c r="I17" s="56">
        <f>'Por año'!I200</f>
        <v>0</v>
      </c>
      <c r="J17" s="56">
        <f>'Por año'!K181</f>
        <v>0</v>
      </c>
    </row>
    <row r="18" spans="1:10" ht="15.75" customHeight="1">
      <c r="A18" s="56">
        <f>'Por año'!A201</f>
        <v>0</v>
      </c>
      <c r="B18" s="56">
        <f>'Por año'!B201</f>
        <v>0</v>
      </c>
      <c r="C18" s="19">
        <f>'Por año'!C201</f>
        <v>0</v>
      </c>
      <c r="E18" s="56">
        <f>'Por año'!E201</f>
        <v>0</v>
      </c>
      <c r="F18" s="56">
        <f>'Por año'!F201</f>
        <v>0</v>
      </c>
      <c r="H18" s="20">
        <f>'Por año'!H201</f>
        <v>0</v>
      </c>
      <c r="I18" s="56">
        <f>'Por año'!I201</f>
        <v>0</v>
      </c>
      <c r="J18" s="56">
        <f>'Por año'!K182</f>
        <v>0</v>
      </c>
    </row>
    <row r="19" spans="1:10" ht="15.75" customHeight="1">
      <c r="A19" s="56">
        <f>'Por año'!A202</f>
        <v>0</v>
      </c>
      <c r="B19" s="56">
        <f>'Por año'!B202</f>
        <v>0</v>
      </c>
      <c r="C19" s="19">
        <f>'Por año'!C202</f>
        <v>0</v>
      </c>
      <c r="E19" s="56">
        <f>'Por año'!E202</f>
        <v>0</v>
      </c>
      <c r="F19" s="56">
        <f>'Por año'!F202</f>
        <v>0</v>
      </c>
      <c r="H19" s="20">
        <f>'Por año'!H202</f>
        <v>0</v>
      </c>
      <c r="I19" s="56">
        <f>'Por año'!I202</f>
        <v>0</v>
      </c>
      <c r="J19" s="56">
        <f>'Por año'!K183</f>
        <v>0</v>
      </c>
    </row>
    <row r="20" spans="1:10" ht="15.75" customHeight="1">
      <c r="A20" s="56">
        <f>'Por año'!A203</f>
        <v>0</v>
      </c>
      <c r="B20" s="56">
        <f>'Por año'!B203</f>
        <v>0</v>
      </c>
      <c r="C20" s="19">
        <f>'Por año'!C203</f>
        <v>0</v>
      </c>
      <c r="E20" s="56">
        <f>'Por año'!E203</f>
        <v>0</v>
      </c>
      <c r="F20" s="56">
        <f>'Por año'!F203</f>
        <v>0</v>
      </c>
      <c r="H20" s="20">
        <f>'Por año'!H203</f>
        <v>0</v>
      </c>
      <c r="I20" s="56">
        <f>'Por año'!I203</f>
        <v>0</v>
      </c>
      <c r="J20" s="56">
        <f>'Por año'!K184</f>
        <v>0</v>
      </c>
    </row>
    <row r="21" spans="1:10" ht="15.75" customHeight="1">
      <c r="A21" s="56">
        <f>'Por año'!A204</f>
        <v>0</v>
      </c>
      <c r="B21" s="56">
        <f>'Por año'!B204</f>
        <v>0</v>
      </c>
      <c r="C21" s="19">
        <f>'Por año'!C204</f>
        <v>0</v>
      </c>
      <c r="E21" s="56">
        <f>'Por año'!E204</f>
        <v>0</v>
      </c>
      <c r="F21" s="56">
        <f>'Por año'!F204</f>
        <v>0</v>
      </c>
      <c r="H21" s="20">
        <f>'Por año'!H204</f>
        <v>0</v>
      </c>
      <c r="I21" s="56">
        <f>'Por año'!I204</f>
        <v>0</v>
      </c>
      <c r="J21" s="56">
        <f>'Por año'!K185</f>
        <v>0</v>
      </c>
    </row>
    <row r="22" spans="1:10" ht="15.75" customHeight="1">
      <c r="A22" s="56">
        <f>'Por año'!A205</f>
        <v>0</v>
      </c>
      <c r="B22" s="56">
        <f>'Por año'!B205</f>
        <v>0</v>
      </c>
      <c r="C22" s="19">
        <f>'Por año'!C205</f>
        <v>0</v>
      </c>
      <c r="E22" s="56">
        <f>'Por año'!E205</f>
        <v>0</v>
      </c>
      <c r="F22" s="56">
        <f>'Por año'!F205</f>
        <v>0</v>
      </c>
      <c r="H22" s="20">
        <f>'Por año'!H205</f>
        <v>0</v>
      </c>
      <c r="I22" s="56">
        <f>'Por año'!I205</f>
        <v>0</v>
      </c>
      <c r="J22" s="56">
        <f>'Por año'!K186</f>
        <v>0</v>
      </c>
    </row>
    <row r="23" spans="1:10" ht="15.75" customHeight="1">
      <c r="A23" s="56">
        <f>'Por año'!A206</f>
        <v>0</v>
      </c>
      <c r="B23" s="56">
        <f>'Por año'!B206</f>
        <v>0</v>
      </c>
      <c r="C23" s="19">
        <f>'Por año'!C206</f>
        <v>0</v>
      </c>
      <c r="E23" s="56">
        <f>'Por año'!E206</f>
        <v>0</v>
      </c>
      <c r="F23" s="56">
        <f>'Por año'!F206</f>
        <v>0</v>
      </c>
      <c r="H23" s="20">
        <f>'Por año'!H206</f>
        <v>0</v>
      </c>
      <c r="I23" s="56">
        <f>'Por año'!I206</f>
        <v>0</v>
      </c>
      <c r="J23" s="56">
        <f>'Por año'!K187</f>
        <v>0</v>
      </c>
    </row>
    <row r="24" spans="1:10" ht="15.75" customHeight="1">
      <c r="A24" s="56">
        <f>'Por año'!A207</f>
        <v>0</v>
      </c>
      <c r="B24" s="56">
        <f>'Por año'!B207</f>
        <v>0</v>
      </c>
      <c r="C24" s="19">
        <f>'Por año'!C207</f>
        <v>0</v>
      </c>
      <c r="E24" s="56">
        <f>'Por año'!E207</f>
        <v>0</v>
      </c>
      <c r="F24" s="56">
        <f>'Por año'!F207</f>
        <v>0</v>
      </c>
      <c r="H24" s="20">
        <f>'Por año'!H207</f>
        <v>0</v>
      </c>
      <c r="I24" s="56">
        <f>'Por año'!I207</f>
        <v>0</v>
      </c>
      <c r="J24" s="56">
        <f>'Por año'!K188</f>
        <v>0</v>
      </c>
    </row>
    <row r="25" spans="1:10" ht="15.75" customHeight="1">
      <c r="A25" s="56">
        <f>'Por año'!A208</f>
        <v>0</v>
      </c>
      <c r="B25" s="56">
        <f>'Por año'!B208</f>
        <v>0</v>
      </c>
      <c r="C25" s="19">
        <f>'Por año'!C208</f>
        <v>0</v>
      </c>
      <c r="E25" s="56">
        <f>'Por año'!E208</f>
        <v>0</v>
      </c>
      <c r="F25" s="56">
        <f>'Por año'!F208</f>
        <v>0</v>
      </c>
      <c r="H25" s="20">
        <f>'Por año'!H208</f>
        <v>0</v>
      </c>
      <c r="I25" s="56">
        <f>'Por año'!I208</f>
        <v>0</v>
      </c>
      <c r="J25" s="56">
        <f>'Por año'!K189</f>
        <v>0</v>
      </c>
    </row>
    <row r="26" spans="1:10" ht="15.75" customHeight="1">
      <c r="A26" s="56">
        <f>'Por año'!A209</f>
        <v>0</v>
      </c>
      <c r="B26" s="56">
        <f>'Por año'!B209</f>
        <v>0</v>
      </c>
      <c r="C26" s="19">
        <f>'Por año'!C209</f>
        <v>0</v>
      </c>
      <c r="E26" s="56">
        <f>'Por año'!E209</f>
        <v>0</v>
      </c>
      <c r="F26" s="56">
        <f>'Por año'!F209</f>
        <v>0</v>
      </c>
      <c r="H26" s="20">
        <f>'Por año'!H209</f>
        <v>0</v>
      </c>
      <c r="I26" s="56">
        <f>'Por año'!I209</f>
        <v>0</v>
      </c>
      <c r="J26" s="56">
        <f>'Por año'!K190</f>
        <v>0</v>
      </c>
    </row>
    <row r="27" spans="1:10" ht="15.75" customHeight="1">
      <c r="A27" s="56">
        <f>'Por año'!A210</f>
        <v>0</v>
      </c>
      <c r="B27" s="56">
        <f>'Por año'!B210</f>
        <v>0</v>
      </c>
      <c r="C27" s="19">
        <f>'Por año'!C210</f>
        <v>0</v>
      </c>
      <c r="E27" s="56">
        <f>'Por año'!E210</f>
        <v>0</v>
      </c>
      <c r="F27" s="56">
        <f>'Por año'!F210</f>
        <v>0</v>
      </c>
      <c r="H27" s="20">
        <f>'Por año'!H210</f>
        <v>0</v>
      </c>
      <c r="I27" s="56">
        <f>'Por año'!I210</f>
        <v>0</v>
      </c>
      <c r="J27" s="56">
        <f>'Por año'!K191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28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año'!A33</f>
        <v>24-25</v>
      </c>
      <c r="B2" s="56" t="str">
        <f>'Por año'!B33</f>
        <v>H. Filosofía</v>
      </c>
      <c r="C2" s="19">
        <f>'Por año'!C33</f>
        <v>28</v>
      </c>
      <c r="D2" s="56" t="str">
        <f t="shared" ref="D2:D10" si="0">CONCATENATE(A2,"(",C2,")")</f>
        <v>24-25(28)</v>
      </c>
      <c r="E2" s="20">
        <f>'Por año'!E33</f>
        <v>0.75</v>
      </c>
      <c r="F2" s="56">
        <f>'Por año'!F33</f>
        <v>6.36</v>
      </c>
      <c r="G2" s="56">
        <f>'Por año'!G33</f>
        <v>7.41</v>
      </c>
      <c r="H2" s="20">
        <f>'Por año'!H33</f>
        <v>0.7621</v>
      </c>
      <c r="I2" s="56">
        <f>'Por año'!I33</f>
        <v>6.43</v>
      </c>
    </row>
    <row r="3" spans="1:10" ht="15.75" customHeight="1">
      <c r="A3" s="56" t="str">
        <f>'Por año'!A52</f>
        <v>23-24</v>
      </c>
      <c r="B3" s="56" t="str">
        <f>'Por año'!B52</f>
        <v>H. Filosofía</v>
      </c>
      <c r="C3" s="19">
        <f>'Por año'!C52</f>
        <v>27</v>
      </c>
      <c r="D3" s="56" t="str">
        <f t="shared" si="0"/>
        <v>23-24(27)</v>
      </c>
      <c r="E3" s="20">
        <f>'Por año'!E52</f>
        <v>0.69230000000000003</v>
      </c>
      <c r="F3" s="56">
        <f>'Por año'!F52</f>
        <v>6.3</v>
      </c>
      <c r="G3" s="56">
        <f>'Por año'!G52</f>
        <v>7.22</v>
      </c>
      <c r="H3" s="20">
        <f>'Por año'!H52</f>
        <v>0.82010000000000005</v>
      </c>
      <c r="I3" s="56">
        <f>'Por año'!I52</f>
        <v>6.97</v>
      </c>
    </row>
    <row r="4" spans="1:10" ht="15.75" customHeight="1">
      <c r="A4" s="56" t="str">
        <f>'Por año'!A71</f>
        <v>22-23</v>
      </c>
      <c r="B4" s="56" t="str">
        <f>'Por año'!B71</f>
        <v>H. Filosofía</v>
      </c>
      <c r="C4" s="19">
        <f>'Por año'!C71</f>
        <v>7</v>
      </c>
      <c r="D4" s="56" t="str">
        <f t="shared" si="0"/>
        <v>22-23(7)</v>
      </c>
      <c r="E4" s="20">
        <f>'Por año'!E71</f>
        <v>0.85709999999999997</v>
      </c>
      <c r="F4" s="56">
        <f>'Por año'!F71</f>
        <v>6.21</v>
      </c>
      <c r="G4" s="56">
        <f>'Por año'!G71</f>
        <v>7.32</v>
      </c>
      <c r="H4" s="20">
        <f>'Por año'!H71</f>
        <v>0.7893</v>
      </c>
      <c r="I4" s="56">
        <f>'Por año'!I71</f>
        <v>6.5</v>
      </c>
    </row>
    <row r="5" spans="1:10" ht="15.75" customHeight="1">
      <c r="A5" s="56" t="str">
        <f>'Por año'!A90</f>
        <v>21-22</v>
      </c>
      <c r="B5" s="56" t="str">
        <f>'Por año'!B90</f>
        <v>H. Filosofía</v>
      </c>
      <c r="C5" s="19">
        <f>'Por año'!C90</f>
        <v>14</v>
      </c>
      <c r="D5" s="56" t="str">
        <f t="shared" si="0"/>
        <v>21-22(14)</v>
      </c>
      <c r="E5" s="20">
        <f>'Por año'!E90</f>
        <v>0.71430000000000005</v>
      </c>
      <c r="F5" s="56">
        <f>'Por año'!F90</f>
        <v>5.55</v>
      </c>
      <c r="G5" s="56">
        <f>'Por año'!G90</f>
        <v>6.89</v>
      </c>
      <c r="H5" s="20">
        <f>'Por año'!H90</f>
        <v>0.79749999999999999</v>
      </c>
      <c r="I5" s="56">
        <f>'Por año'!I90</f>
        <v>6.61</v>
      </c>
    </row>
    <row r="6" spans="1:10" ht="15.75" customHeight="1">
      <c r="A6" s="56" t="str">
        <f>'Por año'!A109</f>
        <v>20-21</v>
      </c>
      <c r="B6" s="56" t="str">
        <f>'Por año'!B109</f>
        <v>H. Filosofía</v>
      </c>
      <c r="C6" s="19">
        <f>'Por año'!C109</f>
        <v>4</v>
      </c>
      <c r="D6" s="56" t="str">
        <f t="shared" si="0"/>
        <v>20-21(4)</v>
      </c>
      <c r="E6" s="20">
        <f>'Por año'!E109</f>
        <v>0.75</v>
      </c>
      <c r="F6" s="56">
        <f>'Por año'!F109</f>
        <v>6.38</v>
      </c>
      <c r="G6" s="56">
        <f>'Por año'!G109</f>
        <v>6.83</v>
      </c>
      <c r="H6" s="20">
        <f>'Por año'!H109</f>
        <v>0.77300000000000002</v>
      </c>
      <c r="I6" s="56">
        <f>'Por año'!I109</f>
        <v>6.4</v>
      </c>
    </row>
    <row r="7" spans="1:10" ht="15.75" customHeight="1">
      <c r="A7" s="56" t="str">
        <f>'Por año'!A128</f>
        <v>19-20</v>
      </c>
      <c r="B7" s="56" t="str">
        <f>'Por año'!B128</f>
        <v>H. Filosofía</v>
      </c>
      <c r="C7" s="19">
        <f>'Por año'!C128</f>
        <v>11</v>
      </c>
      <c r="D7" s="56" t="str">
        <f t="shared" si="0"/>
        <v>19-20(11)</v>
      </c>
      <c r="E7" s="20">
        <f>'Por año'!E128</f>
        <v>0.81820000000000004</v>
      </c>
      <c r="F7" s="56">
        <f>'Por año'!F128</f>
        <v>6.4770000000000003</v>
      </c>
      <c r="G7" s="56">
        <f>'Por año'!G128</f>
        <v>8.5</v>
      </c>
      <c r="H7" s="20">
        <f>'Por año'!H128</f>
        <v>0.83299999999999996</v>
      </c>
      <c r="I7" s="56">
        <f>'Por año'!I128</f>
        <v>6.9820000000000002</v>
      </c>
    </row>
    <row r="8" spans="1:10" ht="15.75" customHeight="1">
      <c r="A8" s="56" t="str">
        <f>'Por año'!A147</f>
        <v>18-19</v>
      </c>
      <c r="B8" s="56" t="str">
        <f>'Por año'!B147</f>
        <v>H. Filosofía</v>
      </c>
      <c r="C8" s="56">
        <f>'Por año'!C147</f>
        <v>10</v>
      </c>
      <c r="D8" s="56" t="str">
        <f t="shared" si="0"/>
        <v>18-19(10)</v>
      </c>
      <c r="E8" s="20">
        <f>'Por año'!E147</f>
        <v>1</v>
      </c>
      <c r="F8" s="56">
        <f>'Por año'!F147</f>
        <v>6.556</v>
      </c>
      <c r="G8" s="56">
        <f>'Por año'!G147</f>
        <v>7.14</v>
      </c>
      <c r="H8" s="20">
        <f>'Por año'!H147</f>
        <v>0.74539999999999995</v>
      </c>
      <c r="I8" s="56">
        <f>'Por año'!I147</f>
        <v>6.1520000000000001</v>
      </c>
    </row>
    <row r="9" spans="1:10" ht="15.75" customHeight="1">
      <c r="A9" s="56" t="str">
        <f>'Por año'!A166</f>
        <v>17-18</v>
      </c>
      <c r="B9" s="56" t="str">
        <f>'Por año'!B166</f>
        <v>H. Filosofía</v>
      </c>
      <c r="C9" s="19">
        <f>'Por año'!C166</f>
        <v>4</v>
      </c>
      <c r="D9" s="56" t="str">
        <f t="shared" si="0"/>
        <v>17-18(4)</v>
      </c>
      <c r="E9" s="20">
        <f>'Por año'!E166</f>
        <v>0</v>
      </c>
      <c r="F9" s="56">
        <f>'Por año'!F166</f>
        <v>3.3119999999999998</v>
      </c>
      <c r="G9" s="56">
        <f>'Por año'!G166</f>
        <v>6.13</v>
      </c>
      <c r="H9" s="20">
        <f>'Por año'!H166</f>
        <v>0.71870000000000001</v>
      </c>
      <c r="I9" s="56">
        <f>'Por año'!I166</f>
        <v>6.093</v>
      </c>
    </row>
    <row r="10" spans="1:10" ht="15.75" customHeight="1">
      <c r="A10" s="56" t="str">
        <f>'Por año'!A185</f>
        <v>16-17</v>
      </c>
      <c r="B10" s="56" t="str">
        <f>'Por año'!B185</f>
        <v>H. Filosofía</v>
      </c>
      <c r="C10" s="19">
        <f>'Por año'!C185</f>
        <v>13</v>
      </c>
      <c r="D10" s="56" t="str">
        <f t="shared" si="0"/>
        <v>16-17(13)</v>
      </c>
      <c r="E10" s="20">
        <f>'Por año'!E185</f>
        <v>0.76919999999999999</v>
      </c>
      <c r="F10" s="56">
        <f>'Por año'!F185</f>
        <v>6.423</v>
      </c>
      <c r="G10" s="56">
        <f>'Por año'!G185</f>
        <v>7.37</v>
      </c>
      <c r="H10" s="20">
        <f>'Por año'!H185</f>
        <v>0.7077</v>
      </c>
      <c r="I10" s="56">
        <f>'Por año'!I185</f>
        <v>5.97</v>
      </c>
    </row>
    <row r="11" spans="1:10" ht="15.75" customHeight="1">
      <c r="J11" s="56">
        <f>'Por año'!K174</f>
        <v>0</v>
      </c>
    </row>
    <row r="12" spans="1:10" ht="15.75" customHeight="1">
      <c r="A12" s="56">
        <f>'Por año'!A194</f>
        <v>0</v>
      </c>
      <c r="B12" s="56">
        <f>'Por año'!B194</f>
        <v>0</v>
      </c>
      <c r="C12" s="19">
        <f>'Por año'!C194</f>
        <v>0</v>
      </c>
      <c r="E12" s="56">
        <f>'Por año'!E194</f>
        <v>0</v>
      </c>
      <c r="F12" s="56">
        <f>'Por año'!F194</f>
        <v>0</v>
      </c>
      <c r="H12" s="20">
        <f>'Por año'!H194</f>
        <v>0</v>
      </c>
      <c r="I12" s="56">
        <f>'Por año'!I194</f>
        <v>0</v>
      </c>
      <c r="J12" s="56">
        <f>'Por año'!K175</f>
        <v>0</v>
      </c>
    </row>
    <row r="13" spans="1:10" ht="15.75" customHeight="1">
      <c r="A13" s="56">
        <f>'Por año'!A195</f>
        <v>0</v>
      </c>
      <c r="B13" s="56">
        <f>'Por año'!B195</f>
        <v>0</v>
      </c>
      <c r="C13" s="19">
        <f>'Por año'!C195</f>
        <v>0</v>
      </c>
      <c r="E13" s="56">
        <f>'Por año'!E195</f>
        <v>0</v>
      </c>
      <c r="F13" s="56">
        <f>'Por año'!F195</f>
        <v>0</v>
      </c>
      <c r="H13" s="20">
        <f>'Por año'!H195</f>
        <v>0</v>
      </c>
      <c r="I13" s="56">
        <f>'Por año'!I195</f>
        <v>0</v>
      </c>
      <c r="J13" s="56">
        <f>'Por año'!K176</f>
        <v>0</v>
      </c>
    </row>
    <row r="14" spans="1:10" ht="15.75" customHeight="1">
      <c r="A14" s="56">
        <f>'Por año'!A196</f>
        <v>0</v>
      </c>
      <c r="B14" s="56">
        <f>'Por año'!B196</f>
        <v>0</v>
      </c>
      <c r="C14" s="19">
        <f>'Por año'!C196</f>
        <v>0</v>
      </c>
      <c r="E14" s="56">
        <f>'Por año'!E196</f>
        <v>0</v>
      </c>
      <c r="F14" s="56">
        <f>'Por año'!F196</f>
        <v>0</v>
      </c>
      <c r="H14" s="20">
        <f>'Por año'!H196</f>
        <v>0</v>
      </c>
      <c r="I14" s="56">
        <f>'Por año'!I196</f>
        <v>0</v>
      </c>
      <c r="J14" s="56">
        <f>'Por año'!K177</f>
        <v>0</v>
      </c>
    </row>
    <row r="15" spans="1:10" ht="15.75" customHeight="1">
      <c r="A15" s="56">
        <f>'Por año'!A197</f>
        <v>0</v>
      </c>
      <c r="B15" s="56">
        <f>'Por año'!B197</f>
        <v>0</v>
      </c>
      <c r="C15" s="19">
        <f>'Por año'!C197</f>
        <v>0</v>
      </c>
      <c r="E15" s="56">
        <f>'Por año'!E197</f>
        <v>0</v>
      </c>
      <c r="F15" s="56">
        <f>'Por año'!F197</f>
        <v>0</v>
      </c>
      <c r="H15" s="20">
        <f>'Por año'!H197</f>
        <v>0</v>
      </c>
      <c r="I15" s="56">
        <f>'Por año'!I197</f>
        <v>0</v>
      </c>
      <c r="J15" s="56">
        <f>'Por año'!K178</f>
        <v>0</v>
      </c>
    </row>
    <row r="16" spans="1:10" ht="15.75" customHeight="1">
      <c r="A16" s="56">
        <f>'Por año'!A198</f>
        <v>0</v>
      </c>
      <c r="B16" s="56">
        <f>'Por año'!B198</f>
        <v>0</v>
      </c>
      <c r="C16" s="19">
        <f>'Por año'!C198</f>
        <v>0</v>
      </c>
      <c r="E16" s="56">
        <f>'Por año'!E198</f>
        <v>0</v>
      </c>
      <c r="F16" s="56">
        <f>'Por año'!F198</f>
        <v>0</v>
      </c>
      <c r="H16" s="20">
        <f>'Por año'!H198</f>
        <v>0</v>
      </c>
      <c r="I16" s="56">
        <f>'Por año'!I198</f>
        <v>0</v>
      </c>
      <c r="J16" s="56">
        <f>'Por año'!K179</f>
        <v>0</v>
      </c>
    </row>
    <row r="17" spans="1:10" ht="15.75" customHeight="1">
      <c r="A17" s="56">
        <f>'Por año'!A199</f>
        <v>0</v>
      </c>
      <c r="B17" s="56">
        <f>'Por año'!B199</f>
        <v>0</v>
      </c>
      <c r="C17" s="19">
        <f>'Por año'!C199</f>
        <v>0</v>
      </c>
      <c r="E17" s="56">
        <f>'Por año'!E199</f>
        <v>0</v>
      </c>
      <c r="F17" s="56">
        <f>'Por año'!F199</f>
        <v>0</v>
      </c>
      <c r="H17" s="20">
        <f>'Por año'!H199</f>
        <v>0</v>
      </c>
      <c r="I17" s="56">
        <f>'Por año'!I199</f>
        <v>0</v>
      </c>
      <c r="J17" s="56">
        <f>'Por año'!K180</f>
        <v>0</v>
      </c>
    </row>
    <row r="18" spans="1:10" ht="15.75" customHeight="1">
      <c r="A18" s="56">
        <f>'Por año'!A200</f>
        <v>0</v>
      </c>
      <c r="B18" s="56">
        <f>'Por año'!B200</f>
        <v>0</v>
      </c>
      <c r="C18" s="19">
        <f>'Por año'!C200</f>
        <v>0</v>
      </c>
      <c r="E18" s="56">
        <f>'Por año'!E200</f>
        <v>0</v>
      </c>
      <c r="F18" s="56">
        <f>'Por año'!F200</f>
        <v>0</v>
      </c>
      <c r="H18" s="20">
        <f>'Por año'!H200</f>
        <v>0</v>
      </c>
      <c r="I18" s="56">
        <f>'Por año'!I200</f>
        <v>0</v>
      </c>
      <c r="J18" s="56">
        <f>'Por año'!K181</f>
        <v>0</v>
      </c>
    </row>
    <row r="19" spans="1:10" ht="15.75" customHeight="1">
      <c r="A19" s="56">
        <f>'Por año'!A201</f>
        <v>0</v>
      </c>
      <c r="B19" s="56">
        <f>'Por año'!B201</f>
        <v>0</v>
      </c>
      <c r="C19" s="19">
        <f>'Por año'!C201</f>
        <v>0</v>
      </c>
      <c r="E19" s="56">
        <f>'Por año'!E201</f>
        <v>0</v>
      </c>
      <c r="F19" s="56">
        <f>'Por año'!F201</f>
        <v>0</v>
      </c>
      <c r="H19" s="20">
        <f>'Por año'!H201</f>
        <v>0</v>
      </c>
      <c r="I19" s="56">
        <f>'Por año'!I201</f>
        <v>0</v>
      </c>
      <c r="J19" s="56">
        <f>'Por año'!K182</f>
        <v>0</v>
      </c>
    </row>
    <row r="20" spans="1:10" ht="15.75" customHeight="1">
      <c r="A20" s="56">
        <f>'Por año'!A202</f>
        <v>0</v>
      </c>
      <c r="B20" s="56">
        <f>'Por año'!B202</f>
        <v>0</v>
      </c>
      <c r="C20" s="19">
        <f>'Por año'!C202</f>
        <v>0</v>
      </c>
      <c r="E20" s="56">
        <f>'Por año'!E202</f>
        <v>0</v>
      </c>
      <c r="F20" s="56">
        <f>'Por año'!F202</f>
        <v>0</v>
      </c>
      <c r="H20" s="20">
        <f>'Por año'!H202</f>
        <v>0</v>
      </c>
      <c r="I20" s="56">
        <f>'Por año'!I202</f>
        <v>0</v>
      </c>
      <c r="J20" s="56">
        <f>'Por año'!K183</f>
        <v>0</v>
      </c>
    </row>
    <row r="21" spans="1:10" ht="15.75" customHeight="1">
      <c r="A21" s="56">
        <f>'Por año'!A203</f>
        <v>0</v>
      </c>
      <c r="B21" s="56">
        <f>'Por año'!B203</f>
        <v>0</v>
      </c>
      <c r="C21" s="19">
        <f>'Por año'!C203</f>
        <v>0</v>
      </c>
      <c r="E21" s="56">
        <f>'Por año'!E203</f>
        <v>0</v>
      </c>
      <c r="F21" s="56">
        <f>'Por año'!F203</f>
        <v>0</v>
      </c>
      <c r="H21" s="20">
        <f>'Por año'!H203</f>
        <v>0</v>
      </c>
      <c r="I21" s="56">
        <f>'Por año'!I203</f>
        <v>0</v>
      </c>
      <c r="J21" s="56">
        <f>'Por año'!K184</f>
        <v>0</v>
      </c>
    </row>
    <row r="22" spans="1:10" ht="15.75" customHeight="1">
      <c r="A22" s="56">
        <f>'Por año'!A204</f>
        <v>0</v>
      </c>
      <c r="B22" s="56">
        <f>'Por año'!B204</f>
        <v>0</v>
      </c>
      <c r="C22" s="19">
        <f>'Por año'!C204</f>
        <v>0</v>
      </c>
      <c r="E22" s="56">
        <f>'Por año'!E204</f>
        <v>0</v>
      </c>
      <c r="F22" s="56">
        <f>'Por año'!F204</f>
        <v>0</v>
      </c>
      <c r="H22" s="20">
        <f>'Por año'!H204</f>
        <v>0</v>
      </c>
      <c r="I22" s="56">
        <f>'Por año'!I204</f>
        <v>0</v>
      </c>
      <c r="J22" s="56">
        <f>'Por año'!K185</f>
        <v>0</v>
      </c>
    </row>
    <row r="23" spans="1:10" ht="15.75" customHeight="1">
      <c r="A23" s="56">
        <f>'Por año'!A205</f>
        <v>0</v>
      </c>
      <c r="B23" s="56">
        <f>'Por año'!B205</f>
        <v>0</v>
      </c>
      <c r="C23" s="19">
        <f>'Por año'!C205</f>
        <v>0</v>
      </c>
      <c r="E23" s="56">
        <f>'Por año'!E205</f>
        <v>0</v>
      </c>
      <c r="F23" s="56">
        <f>'Por año'!F205</f>
        <v>0</v>
      </c>
      <c r="H23" s="20">
        <f>'Por año'!H205</f>
        <v>0</v>
      </c>
      <c r="I23" s="56">
        <f>'Por año'!I205</f>
        <v>0</v>
      </c>
      <c r="J23" s="56">
        <f>'Por año'!K186</f>
        <v>0</v>
      </c>
    </row>
    <row r="24" spans="1:10" ht="15.75" customHeight="1">
      <c r="A24" s="56">
        <f>'Por año'!A206</f>
        <v>0</v>
      </c>
      <c r="B24" s="56">
        <f>'Por año'!B206</f>
        <v>0</v>
      </c>
      <c r="C24" s="19">
        <f>'Por año'!C206</f>
        <v>0</v>
      </c>
      <c r="E24" s="56">
        <f>'Por año'!E206</f>
        <v>0</v>
      </c>
      <c r="F24" s="56">
        <f>'Por año'!F206</f>
        <v>0</v>
      </c>
      <c r="H24" s="20">
        <f>'Por año'!H206</f>
        <v>0</v>
      </c>
      <c r="I24" s="56">
        <f>'Por año'!I206</f>
        <v>0</v>
      </c>
      <c r="J24" s="56">
        <f>'Por año'!K187</f>
        <v>0</v>
      </c>
    </row>
    <row r="25" spans="1:10" ht="15.75" customHeight="1">
      <c r="A25" s="56">
        <f>'Por año'!A207</f>
        <v>0</v>
      </c>
      <c r="B25" s="56">
        <f>'Por año'!B207</f>
        <v>0</v>
      </c>
      <c r="C25" s="19">
        <f>'Por año'!C207</f>
        <v>0</v>
      </c>
      <c r="E25" s="56">
        <f>'Por año'!E207</f>
        <v>0</v>
      </c>
      <c r="F25" s="56">
        <f>'Por año'!F207</f>
        <v>0</v>
      </c>
      <c r="H25" s="20">
        <f>'Por año'!H207</f>
        <v>0</v>
      </c>
      <c r="I25" s="56">
        <f>'Por año'!I207</f>
        <v>0</v>
      </c>
      <c r="J25" s="56">
        <f>'Por año'!K188</f>
        <v>0</v>
      </c>
    </row>
    <row r="26" spans="1:10" ht="15.75" customHeight="1">
      <c r="A26" s="56">
        <f>'Por año'!A208</f>
        <v>0</v>
      </c>
      <c r="B26" s="56">
        <f>'Por año'!B208</f>
        <v>0</v>
      </c>
      <c r="C26" s="19">
        <f>'Por año'!C208</f>
        <v>0</v>
      </c>
      <c r="E26" s="56">
        <f>'Por año'!E208</f>
        <v>0</v>
      </c>
      <c r="F26" s="56">
        <f>'Por año'!F208</f>
        <v>0</v>
      </c>
      <c r="H26" s="20">
        <f>'Por año'!H208</f>
        <v>0</v>
      </c>
      <c r="I26" s="56">
        <f>'Por año'!I208</f>
        <v>0</v>
      </c>
      <c r="J26" s="56">
        <f>'Por año'!K189</f>
        <v>0</v>
      </c>
    </row>
    <row r="27" spans="1:10" ht="15.75" customHeight="1">
      <c r="A27" s="56">
        <f>'Por año'!A209</f>
        <v>0</v>
      </c>
      <c r="B27" s="56">
        <f>'Por año'!B209</f>
        <v>0</v>
      </c>
      <c r="C27" s="19">
        <f>'Por año'!C209</f>
        <v>0</v>
      </c>
      <c r="E27" s="56">
        <f>'Por año'!E209</f>
        <v>0</v>
      </c>
      <c r="F27" s="56">
        <f>'Por año'!F209</f>
        <v>0</v>
      </c>
      <c r="H27" s="20">
        <f>'Por año'!H209</f>
        <v>0</v>
      </c>
      <c r="I27" s="56">
        <f>'Por año'!I209</f>
        <v>0</v>
      </c>
      <c r="J27" s="56">
        <f>'Por año'!K190</f>
        <v>0</v>
      </c>
    </row>
    <row r="28" spans="1:10" ht="15.75" customHeight="1">
      <c r="A28" s="56">
        <f>'Por año'!A210</f>
        <v>0</v>
      </c>
      <c r="B28" s="56">
        <f>'Por año'!B210</f>
        <v>0</v>
      </c>
      <c r="C28" s="19">
        <f>'Por año'!C210</f>
        <v>0</v>
      </c>
      <c r="E28" s="56">
        <f>'Por año'!E210</f>
        <v>0</v>
      </c>
      <c r="F28" s="56">
        <f>'Por año'!F210</f>
        <v>0</v>
      </c>
      <c r="H28" s="20">
        <f>'Por año'!H210</f>
        <v>0</v>
      </c>
      <c r="I28" s="56">
        <f>'Por año'!I210</f>
        <v>0</v>
      </c>
      <c r="J28" s="56">
        <f>'Por año'!K191</f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29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año'!A34</f>
        <v>24-25</v>
      </c>
      <c r="B2" s="56" t="str">
        <f>'Por año'!B34</f>
        <v>H. Arte</v>
      </c>
      <c r="C2" s="19">
        <f>'Por año'!C34</f>
        <v>0</v>
      </c>
      <c r="D2" s="56" t="str">
        <f t="shared" ref="D2:D10" si="0">CONCATENATE(A2,"(",C2,")")</f>
        <v>24-25(0)</v>
      </c>
      <c r="E2" s="20">
        <f>'Por año'!E34</f>
        <v>0</v>
      </c>
      <c r="F2" s="56">
        <f>'Por año'!F34</f>
        <v>0</v>
      </c>
      <c r="G2" s="56">
        <f>'Por año'!G34</f>
        <v>0</v>
      </c>
      <c r="H2" s="20">
        <f>'Por año'!H34</f>
        <v>0.63239999999999996</v>
      </c>
      <c r="I2" s="56">
        <f>'Por año'!I34</f>
        <v>5.58</v>
      </c>
    </row>
    <row r="3" spans="1:10" ht="15.75" customHeight="1">
      <c r="A3" s="56" t="str">
        <f>'Por año'!A53</f>
        <v>23-24</v>
      </c>
      <c r="B3" s="56" t="str">
        <f>'Por año'!B53</f>
        <v>H. Arte</v>
      </c>
      <c r="C3" s="19">
        <f>'Por año'!C53</f>
        <v>0</v>
      </c>
      <c r="D3" s="56" t="str">
        <f t="shared" si="0"/>
        <v>23-24(0)</v>
      </c>
      <c r="E3" s="20">
        <f>'Por año'!E53</f>
        <v>0</v>
      </c>
      <c r="F3" s="56">
        <f>'Por año'!F53</f>
        <v>0</v>
      </c>
      <c r="G3" s="56">
        <f>'Por año'!G53</f>
        <v>0</v>
      </c>
      <c r="H3" s="20">
        <f>'Por año'!H53</f>
        <v>0</v>
      </c>
      <c r="I3" s="56">
        <f>'Por año'!I53</f>
        <v>0</v>
      </c>
    </row>
    <row r="4" spans="1:10" ht="15.75" customHeight="1">
      <c r="A4" s="56" t="str">
        <f>'Por año'!A72</f>
        <v>22-23</v>
      </c>
      <c r="B4" s="56" t="str">
        <f>'Por año'!B72</f>
        <v>H. Arte</v>
      </c>
      <c r="C4" s="19">
        <f>'Por año'!C72</f>
        <v>5</v>
      </c>
      <c r="D4" s="56" t="str">
        <f t="shared" si="0"/>
        <v>22-23(5)</v>
      </c>
      <c r="E4" s="20">
        <f>'Por año'!E72</f>
        <v>0.4</v>
      </c>
      <c r="F4" s="56">
        <f>'Por año'!F72</f>
        <v>4.75</v>
      </c>
      <c r="G4" s="56">
        <f>'Por año'!G72</f>
        <v>7.07</v>
      </c>
      <c r="H4" s="20">
        <f>'Por año'!H72</f>
        <v>0.61539999999999995</v>
      </c>
      <c r="I4" s="56">
        <f>'Por año'!I72</f>
        <v>5.66</v>
      </c>
    </row>
    <row r="5" spans="1:10" ht="15.75" customHeight="1">
      <c r="A5" s="56" t="str">
        <f>'Por año'!A91</f>
        <v>21-22</v>
      </c>
      <c r="B5" s="56" t="str">
        <f>'Por año'!B91</f>
        <v>H. Arte</v>
      </c>
      <c r="C5" s="19">
        <f>'Por año'!C91</f>
        <v>6</v>
      </c>
      <c r="D5" s="56" t="str">
        <f t="shared" si="0"/>
        <v>21-22(6)</v>
      </c>
      <c r="E5" s="20">
        <f>'Por año'!E91</f>
        <v>0.83330000000000004</v>
      </c>
      <c r="F5" s="56">
        <f>'Por año'!F91</f>
        <v>6.79</v>
      </c>
      <c r="G5" s="56">
        <f>'Por año'!G91</f>
        <v>7</v>
      </c>
      <c r="H5" s="20">
        <f>'Por año'!H91</f>
        <v>0.7964</v>
      </c>
      <c r="I5" s="56">
        <f>'Por año'!I91</f>
        <v>6.44</v>
      </c>
    </row>
    <row r="6" spans="1:10" ht="15.75" customHeight="1">
      <c r="A6" s="56" t="str">
        <f>'Por año'!A110</f>
        <v>20-21</v>
      </c>
      <c r="B6" s="56" t="str">
        <f>'Por año'!B110</f>
        <v>H. Arte</v>
      </c>
      <c r="C6" s="19">
        <f>'Por año'!C110</f>
        <v>3</v>
      </c>
      <c r="D6" s="56" t="str">
        <f t="shared" si="0"/>
        <v>20-21(3)</v>
      </c>
      <c r="E6" s="20">
        <f>'Por año'!E110</f>
        <v>1</v>
      </c>
      <c r="F6" s="56">
        <f>'Por año'!F110</f>
        <v>7.5</v>
      </c>
      <c r="G6" s="56">
        <f>'Por año'!G110</f>
        <v>7.5</v>
      </c>
      <c r="H6" s="20">
        <f>'Por año'!H110</f>
        <v>0.74850000000000005</v>
      </c>
      <c r="I6" s="56">
        <f>'Por año'!I110</f>
        <v>6.39</v>
      </c>
    </row>
    <row r="7" spans="1:10" ht="15.75" customHeight="1">
      <c r="A7" s="56" t="str">
        <f>'Por año'!A129</f>
        <v>19-20</v>
      </c>
      <c r="B7" s="56" t="str">
        <f>'Por año'!B129</f>
        <v>H. Arte</v>
      </c>
      <c r="C7" s="19">
        <f>'Por año'!C129</f>
        <v>6</v>
      </c>
      <c r="D7" s="56" t="str">
        <f t="shared" si="0"/>
        <v>19-20(6)</v>
      </c>
      <c r="E7" s="20">
        <f>'Por año'!E129</f>
        <v>0.83330000000000004</v>
      </c>
      <c r="F7" s="56">
        <f>'Por año'!F129</f>
        <v>7.25</v>
      </c>
      <c r="G7" s="56">
        <f>'Por año'!G129</f>
        <v>7.63</v>
      </c>
      <c r="H7" s="20">
        <f>'Por año'!H129</f>
        <v>0.61329999999999996</v>
      </c>
      <c r="I7" s="56">
        <f>'Por año'!I129</f>
        <v>5.5209999999999999</v>
      </c>
    </row>
    <row r="8" spans="1:10" ht="15.75" customHeight="1">
      <c r="A8" s="56" t="str">
        <f>'Por año'!A148</f>
        <v>18-19</v>
      </c>
      <c r="B8" s="56" t="str">
        <f>'Por año'!B148</f>
        <v>H. Arte</v>
      </c>
      <c r="C8" s="56">
        <f>'Por año'!C148</f>
        <v>4</v>
      </c>
      <c r="D8" s="56" t="str">
        <f t="shared" si="0"/>
        <v>18-19(4)</v>
      </c>
      <c r="E8" s="20">
        <f>'Por año'!E148</f>
        <v>0.66669999999999996</v>
      </c>
      <c r="F8" s="56">
        <f>'Por año'!F148</f>
        <v>6.25</v>
      </c>
      <c r="G8" s="56">
        <f>'Por año'!G148</f>
        <v>6.2</v>
      </c>
      <c r="H8" s="20">
        <f>'Por año'!H148</f>
        <v>0.76490000000000002</v>
      </c>
      <c r="I8" s="56">
        <f>'Por año'!I148</f>
        <v>6.181</v>
      </c>
    </row>
    <row r="9" spans="1:10" ht="15.75" customHeight="1">
      <c r="A9" s="56" t="str">
        <f>'Por año'!A167</f>
        <v>17-18</v>
      </c>
      <c r="B9" s="56" t="str">
        <f>'Por año'!B167</f>
        <v>H. Arte</v>
      </c>
      <c r="C9" s="19">
        <f>'Por año'!C167</f>
        <v>6</v>
      </c>
      <c r="D9" s="56" t="str">
        <f t="shared" si="0"/>
        <v>17-18(6)</v>
      </c>
      <c r="E9" s="20">
        <f>'Por año'!E167</f>
        <v>0.83330000000000004</v>
      </c>
      <c r="F9" s="56">
        <f>'Por año'!F167</f>
        <v>6.5</v>
      </c>
      <c r="G9" s="56">
        <f>'Por año'!G167</f>
        <v>7.13</v>
      </c>
      <c r="H9" s="20">
        <f>'Por año'!H167</f>
        <v>0.76639999999999997</v>
      </c>
      <c r="I9" s="56">
        <f>'Por año'!I167</f>
        <v>6.298</v>
      </c>
    </row>
    <row r="10" spans="1:10" ht="15.75" customHeight="1">
      <c r="A10" s="56" t="str">
        <f>'Por año'!A186</f>
        <v>16-17</v>
      </c>
      <c r="B10" s="56" t="str">
        <f>'Por año'!B186</f>
        <v>H. Arte</v>
      </c>
      <c r="C10" s="19">
        <f>'Por año'!C186</f>
        <v>0</v>
      </c>
      <c r="D10" s="56" t="str">
        <f t="shared" si="0"/>
        <v>16-17(0)</v>
      </c>
      <c r="E10" s="20">
        <f>'Por año'!E186</f>
        <v>0</v>
      </c>
      <c r="F10" s="56">
        <f>'Por año'!F186</f>
        <v>0</v>
      </c>
      <c r="G10" s="56">
        <f>'Por año'!G186</f>
        <v>0</v>
      </c>
      <c r="H10" s="20">
        <f>'Por año'!H186</f>
        <v>0.71009999999999995</v>
      </c>
      <c r="I10" s="56">
        <f>'Por año'!I186</f>
        <v>5.6859999999999999</v>
      </c>
    </row>
    <row r="12" spans="1:10" ht="15.75" customHeight="1">
      <c r="J12" s="56">
        <f>'Por año'!K174</f>
        <v>0</v>
      </c>
    </row>
    <row r="13" spans="1:10" ht="15.75" customHeight="1">
      <c r="A13" s="56">
        <f>'Por año'!A194</f>
        <v>0</v>
      </c>
      <c r="B13" s="56">
        <f>'Por año'!B194</f>
        <v>0</v>
      </c>
      <c r="C13" s="19">
        <f>'Por año'!C194</f>
        <v>0</v>
      </c>
      <c r="E13" s="56">
        <f>'Por año'!E194</f>
        <v>0</v>
      </c>
      <c r="F13" s="56">
        <f>'Por año'!F194</f>
        <v>0</v>
      </c>
      <c r="H13" s="20">
        <f>'Por año'!H194</f>
        <v>0</v>
      </c>
      <c r="I13" s="56">
        <f>'Por año'!I194</f>
        <v>0</v>
      </c>
      <c r="J13" s="56">
        <f>'Por año'!K175</f>
        <v>0</v>
      </c>
    </row>
    <row r="14" spans="1:10" ht="15.75" customHeight="1">
      <c r="A14" s="56">
        <f>'Por año'!A195</f>
        <v>0</v>
      </c>
      <c r="B14" s="56">
        <f>'Por año'!B195</f>
        <v>0</v>
      </c>
      <c r="C14" s="19">
        <f>'Por año'!C195</f>
        <v>0</v>
      </c>
      <c r="E14" s="56">
        <f>'Por año'!E195</f>
        <v>0</v>
      </c>
      <c r="F14" s="56">
        <f>'Por año'!F195</f>
        <v>0</v>
      </c>
      <c r="H14" s="20">
        <f>'Por año'!H195</f>
        <v>0</v>
      </c>
      <c r="I14" s="56">
        <f>'Por año'!I195</f>
        <v>0</v>
      </c>
      <c r="J14" s="56">
        <f>'Por año'!K176</f>
        <v>0</v>
      </c>
    </row>
    <row r="15" spans="1:10" ht="15.75" customHeight="1">
      <c r="A15" s="56">
        <f>'Por año'!A196</f>
        <v>0</v>
      </c>
      <c r="B15" s="56">
        <f>'Por año'!B196</f>
        <v>0</v>
      </c>
      <c r="C15" s="19">
        <f>'Por año'!C196</f>
        <v>0</v>
      </c>
      <c r="E15" s="56">
        <f>'Por año'!E196</f>
        <v>0</v>
      </c>
      <c r="F15" s="56">
        <f>'Por año'!F196</f>
        <v>0</v>
      </c>
      <c r="H15" s="20">
        <f>'Por año'!H196</f>
        <v>0</v>
      </c>
      <c r="I15" s="56">
        <f>'Por año'!I196</f>
        <v>0</v>
      </c>
      <c r="J15" s="56">
        <f>'Por año'!K177</f>
        <v>0</v>
      </c>
    </row>
    <row r="16" spans="1:10" ht="15.75" customHeight="1">
      <c r="A16" s="56">
        <f>'Por año'!A197</f>
        <v>0</v>
      </c>
      <c r="B16" s="56">
        <f>'Por año'!B197</f>
        <v>0</v>
      </c>
      <c r="C16" s="19">
        <f>'Por año'!C197</f>
        <v>0</v>
      </c>
      <c r="E16" s="56">
        <f>'Por año'!E197</f>
        <v>0</v>
      </c>
      <c r="F16" s="56">
        <f>'Por año'!F197</f>
        <v>0</v>
      </c>
      <c r="H16" s="20">
        <f>'Por año'!H197</f>
        <v>0</v>
      </c>
      <c r="I16" s="56">
        <f>'Por año'!I197</f>
        <v>0</v>
      </c>
      <c r="J16" s="56">
        <f>'Por año'!K178</f>
        <v>0</v>
      </c>
    </row>
    <row r="17" spans="1:10" ht="15.75" customHeight="1">
      <c r="A17" s="56">
        <f>'Por año'!A198</f>
        <v>0</v>
      </c>
      <c r="B17" s="56">
        <f>'Por año'!B198</f>
        <v>0</v>
      </c>
      <c r="C17" s="19">
        <f>'Por año'!C198</f>
        <v>0</v>
      </c>
      <c r="E17" s="56">
        <f>'Por año'!E198</f>
        <v>0</v>
      </c>
      <c r="F17" s="56">
        <f>'Por año'!F198</f>
        <v>0</v>
      </c>
      <c r="H17" s="20">
        <f>'Por año'!H198</f>
        <v>0</v>
      </c>
      <c r="I17" s="56">
        <f>'Por año'!I198</f>
        <v>0</v>
      </c>
      <c r="J17" s="56">
        <f>'Por año'!K179</f>
        <v>0</v>
      </c>
    </row>
    <row r="18" spans="1:10" ht="15.75" customHeight="1">
      <c r="A18" s="56">
        <f>'Por año'!A199</f>
        <v>0</v>
      </c>
      <c r="B18" s="56">
        <f>'Por año'!B199</f>
        <v>0</v>
      </c>
      <c r="C18" s="19">
        <f>'Por año'!C199</f>
        <v>0</v>
      </c>
      <c r="E18" s="56">
        <f>'Por año'!E199</f>
        <v>0</v>
      </c>
      <c r="F18" s="56">
        <f>'Por año'!F199</f>
        <v>0</v>
      </c>
      <c r="H18" s="20">
        <f>'Por año'!H199</f>
        <v>0</v>
      </c>
      <c r="I18" s="56">
        <f>'Por año'!I199</f>
        <v>0</v>
      </c>
      <c r="J18" s="56">
        <f>'Por año'!K180</f>
        <v>0</v>
      </c>
    </row>
    <row r="19" spans="1:10" ht="15.75" customHeight="1">
      <c r="A19" s="56">
        <f>'Por año'!A200</f>
        <v>0</v>
      </c>
      <c r="B19" s="56">
        <f>'Por año'!B200</f>
        <v>0</v>
      </c>
      <c r="C19" s="19">
        <f>'Por año'!C200</f>
        <v>0</v>
      </c>
      <c r="E19" s="56">
        <f>'Por año'!E200</f>
        <v>0</v>
      </c>
      <c r="F19" s="56">
        <f>'Por año'!F200</f>
        <v>0</v>
      </c>
      <c r="H19" s="20">
        <f>'Por año'!H200</f>
        <v>0</v>
      </c>
      <c r="I19" s="56">
        <f>'Por año'!I200</f>
        <v>0</v>
      </c>
      <c r="J19" s="56">
        <f>'Por año'!K181</f>
        <v>0</v>
      </c>
    </row>
    <row r="20" spans="1:10" ht="15.75" customHeight="1">
      <c r="A20" s="56">
        <f>'Por año'!A201</f>
        <v>0</v>
      </c>
      <c r="B20" s="56">
        <f>'Por año'!B201</f>
        <v>0</v>
      </c>
      <c r="C20" s="19">
        <f>'Por año'!C201</f>
        <v>0</v>
      </c>
      <c r="E20" s="56">
        <f>'Por año'!E201</f>
        <v>0</v>
      </c>
      <c r="F20" s="56">
        <f>'Por año'!F201</f>
        <v>0</v>
      </c>
      <c r="H20" s="20">
        <f>'Por año'!H201</f>
        <v>0</v>
      </c>
      <c r="I20" s="56">
        <f>'Por año'!I201</f>
        <v>0</v>
      </c>
      <c r="J20" s="56">
        <f>'Por año'!K182</f>
        <v>0</v>
      </c>
    </row>
    <row r="21" spans="1:10" ht="15.75" customHeight="1">
      <c r="A21" s="56">
        <f>'Por año'!A202</f>
        <v>0</v>
      </c>
      <c r="B21" s="56">
        <f>'Por año'!B202</f>
        <v>0</v>
      </c>
      <c r="C21" s="19">
        <f>'Por año'!C202</f>
        <v>0</v>
      </c>
      <c r="E21" s="56">
        <f>'Por año'!E202</f>
        <v>0</v>
      </c>
      <c r="F21" s="56">
        <f>'Por año'!F202</f>
        <v>0</v>
      </c>
      <c r="H21" s="20">
        <f>'Por año'!H202</f>
        <v>0</v>
      </c>
      <c r="I21" s="56">
        <f>'Por año'!I202</f>
        <v>0</v>
      </c>
      <c r="J21" s="56">
        <f>'Por año'!K183</f>
        <v>0</v>
      </c>
    </row>
    <row r="22" spans="1:10" ht="15.75" customHeight="1">
      <c r="A22" s="56">
        <f>'Por año'!A203</f>
        <v>0</v>
      </c>
      <c r="B22" s="56">
        <f>'Por año'!B203</f>
        <v>0</v>
      </c>
      <c r="C22" s="19">
        <f>'Por año'!C203</f>
        <v>0</v>
      </c>
      <c r="E22" s="56">
        <f>'Por año'!E203</f>
        <v>0</v>
      </c>
      <c r="F22" s="56">
        <f>'Por año'!F203</f>
        <v>0</v>
      </c>
      <c r="H22" s="20">
        <f>'Por año'!H203</f>
        <v>0</v>
      </c>
      <c r="I22" s="56">
        <f>'Por año'!I203</f>
        <v>0</v>
      </c>
      <c r="J22" s="56">
        <f>'Por año'!K184</f>
        <v>0</v>
      </c>
    </row>
    <row r="23" spans="1:10" ht="15.75" customHeight="1">
      <c r="A23" s="56">
        <f>'Por año'!A204</f>
        <v>0</v>
      </c>
      <c r="B23" s="56">
        <f>'Por año'!B204</f>
        <v>0</v>
      </c>
      <c r="C23" s="19">
        <f>'Por año'!C204</f>
        <v>0</v>
      </c>
      <c r="E23" s="56">
        <f>'Por año'!E204</f>
        <v>0</v>
      </c>
      <c r="F23" s="56">
        <f>'Por año'!F204</f>
        <v>0</v>
      </c>
      <c r="H23" s="20">
        <f>'Por año'!H204</f>
        <v>0</v>
      </c>
      <c r="I23" s="56">
        <f>'Por año'!I204</f>
        <v>0</v>
      </c>
      <c r="J23" s="56">
        <f>'Por año'!K185</f>
        <v>0</v>
      </c>
    </row>
    <row r="24" spans="1:10" ht="15.75" customHeight="1">
      <c r="A24" s="56">
        <f>'Por año'!A205</f>
        <v>0</v>
      </c>
      <c r="B24" s="56">
        <f>'Por año'!B205</f>
        <v>0</v>
      </c>
      <c r="C24" s="19">
        <f>'Por año'!C205</f>
        <v>0</v>
      </c>
      <c r="E24" s="56">
        <f>'Por año'!E205</f>
        <v>0</v>
      </c>
      <c r="F24" s="56">
        <f>'Por año'!F205</f>
        <v>0</v>
      </c>
      <c r="H24" s="20">
        <f>'Por año'!H205</f>
        <v>0</v>
      </c>
      <c r="I24" s="56">
        <f>'Por año'!I205</f>
        <v>0</v>
      </c>
      <c r="J24" s="56">
        <f>'Por año'!K186</f>
        <v>0</v>
      </c>
    </row>
    <row r="25" spans="1:10" ht="15.75" customHeight="1">
      <c r="A25" s="56">
        <f>'Por año'!A206</f>
        <v>0</v>
      </c>
      <c r="B25" s="56">
        <f>'Por año'!B206</f>
        <v>0</v>
      </c>
      <c r="C25" s="19">
        <f>'Por año'!C206</f>
        <v>0</v>
      </c>
      <c r="E25" s="56">
        <f>'Por año'!E206</f>
        <v>0</v>
      </c>
      <c r="F25" s="56">
        <f>'Por año'!F206</f>
        <v>0</v>
      </c>
      <c r="H25" s="20">
        <f>'Por año'!H206</f>
        <v>0</v>
      </c>
      <c r="I25" s="56">
        <f>'Por año'!I206</f>
        <v>0</v>
      </c>
      <c r="J25" s="56">
        <f>'Por año'!K187</f>
        <v>0</v>
      </c>
    </row>
    <row r="26" spans="1:10" ht="15.75" customHeight="1">
      <c r="A26" s="56">
        <f>'Por año'!A207</f>
        <v>0</v>
      </c>
      <c r="B26" s="56">
        <f>'Por año'!B207</f>
        <v>0</v>
      </c>
      <c r="C26" s="19">
        <f>'Por año'!C207</f>
        <v>0</v>
      </c>
      <c r="E26" s="56">
        <f>'Por año'!E207</f>
        <v>0</v>
      </c>
      <c r="F26" s="56">
        <f>'Por año'!F207</f>
        <v>0</v>
      </c>
      <c r="H26" s="20">
        <f>'Por año'!H207</f>
        <v>0</v>
      </c>
      <c r="I26" s="56">
        <f>'Por año'!I207</f>
        <v>0</v>
      </c>
      <c r="J26" s="56">
        <f>'Por año'!K188</f>
        <v>0</v>
      </c>
    </row>
    <row r="27" spans="1:10" ht="15.75" customHeight="1">
      <c r="A27" s="56">
        <f>'Por año'!A208</f>
        <v>0</v>
      </c>
      <c r="B27" s="56">
        <f>'Por año'!B208</f>
        <v>0</v>
      </c>
      <c r="C27" s="19">
        <f>'Por año'!C208</f>
        <v>0</v>
      </c>
      <c r="E27" s="56">
        <f>'Por año'!E208</f>
        <v>0</v>
      </c>
      <c r="F27" s="56">
        <f>'Por año'!F208</f>
        <v>0</v>
      </c>
      <c r="H27" s="20">
        <f>'Por año'!H208</f>
        <v>0</v>
      </c>
      <c r="I27" s="56">
        <f>'Por año'!I208</f>
        <v>0</v>
      </c>
      <c r="J27" s="56">
        <f>'Por año'!K189</f>
        <v>0</v>
      </c>
    </row>
    <row r="28" spans="1:10" ht="15.75" customHeight="1">
      <c r="A28" s="56">
        <f>'Por año'!A209</f>
        <v>0</v>
      </c>
      <c r="B28" s="56">
        <f>'Por año'!B209</f>
        <v>0</v>
      </c>
      <c r="C28" s="19">
        <f>'Por año'!C209</f>
        <v>0</v>
      </c>
      <c r="E28" s="56">
        <f>'Por año'!E209</f>
        <v>0</v>
      </c>
      <c r="F28" s="56">
        <f>'Por año'!F209</f>
        <v>0</v>
      </c>
      <c r="H28" s="20">
        <f>'Por año'!H209</f>
        <v>0</v>
      </c>
      <c r="I28" s="56">
        <f>'Por año'!I209</f>
        <v>0</v>
      </c>
      <c r="J28" s="56">
        <f>'Por año'!K190</f>
        <v>0</v>
      </c>
    </row>
    <row r="29" spans="1:10" ht="15.75" customHeight="1">
      <c r="A29" s="56">
        <f>'Por año'!A210</f>
        <v>0</v>
      </c>
      <c r="B29" s="56">
        <f>'Por año'!B210</f>
        <v>0</v>
      </c>
      <c r="C29" s="19">
        <f>'Por año'!C210</f>
        <v>0</v>
      </c>
      <c r="E29" s="56">
        <f>'Por año'!E210</f>
        <v>0</v>
      </c>
      <c r="F29" s="56">
        <f>'Por año'!F210</f>
        <v>0</v>
      </c>
      <c r="H29" s="20">
        <f>'Por año'!H210</f>
        <v>0</v>
      </c>
      <c r="I29" s="56">
        <f>'Por año'!I210</f>
        <v>0</v>
      </c>
      <c r="J29" s="56">
        <f>'Por año'!K191</f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31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año'!A35</f>
        <v>24-25</v>
      </c>
      <c r="B2" s="56" t="str">
        <f>'Por año'!B35</f>
        <v>Geografía</v>
      </c>
      <c r="C2" s="19">
        <f>'Por año'!C35</f>
        <v>2</v>
      </c>
      <c r="D2" s="56" t="str">
        <f t="shared" ref="D2:D10" si="0">CONCATENATE(A2,"(",C2,")")</f>
        <v>24-25(2)</v>
      </c>
      <c r="E2" s="20">
        <f>'Por año'!E35</f>
        <v>0.5</v>
      </c>
      <c r="F2" s="56">
        <f>'Por año'!F35</f>
        <v>4.88</v>
      </c>
      <c r="G2" s="56">
        <f>'Por año'!G35</f>
        <v>7.14</v>
      </c>
      <c r="H2" s="20">
        <f>'Por año'!H35</f>
        <v>0.745</v>
      </c>
      <c r="I2" s="56">
        <f>'Por año'!I35</f>
        <v>6.23</v>
      </c>
    </row>
    <row r="3" spans="1:10" ht="15.75" customHeight="1">
      <c r="A3" s="56" t="str">
        <f>'Por año'!A54</f>
        <v>23-24</v>
      </c>
      <c r="B3" s="56" t="str">
        <f>'Por año'!B54</f>
        <v>Geografía</v>
      </c>
      <c r="C3" s="19">
        <f>'Por año'!C54</f>
        <v>1</v>
      </c>
      <c r="D3" s="56" t="str">
        <f t="shared" si="0"/>
        <v>23-24(1)</v>
      </c>
      <c r="E3" s="20">
        <f>'Por año'!E54</f>
        <v>1</v>
      </c>
      <c r="F3" s="56">
        <f>'Por año'!F54</f>
        <v>8.25</v>
      </c>
      <c r="G3" s="56">
        <f>'Por año'!G54</f>
        <v>6.44</v>
      </c>
      <c r="H3" s="20">
        <f>'Por año'!H54</f>
        <v>0.82879999999999998</v>
      </c>
      <c r="I3" s="56">
        <f>'Por año'!I54</f>
        <v>6.36</v>
      </c>
    </row>
    <row r="4" spans="1:10" ht="15.75" customHeight="1">
      <c r="A4" s="56" t="str">
        <f>'Por año'!A73</f>
        <v>22-23</v>
      </c>
      <c r="B4" s="56" t="str">
        <f>'Por año'!B73</f>
        <v>Geografía</v>
      </c>
      <c r="C4" s="19">
        <f>'Por año'!C73</f>
        <v>1</v>
      </c>
      <c r="D4" s="56" t="str">
        <f t="shared" si="0"/>
        <v>22-23(1)</v>
      </c>
      <c r="E4" s="20">
        <f>'Por año'!E73</f>
        <v>1</v>
      </c>
      <c r="F4" s="56">
        <f>'Por año'!F73</f>
        <v>7.25</v>
      </c>
      <c r="G4" s="56">
        <f>'Por año'!G73</f>
        <v>8</v>
      </c>
      <c r="H4" s="20">
        <f>'Por año'!H73</f>
        <v>0.86119999999999997</v>
      </c>
      <c r="I4" s="56">
        <f>'Por año'!I73</f>
        <v>6.63</v>
      </c>
    </row>
    <row r="5" spans="1:10" ht="15.75" customHeight="1">
      <c r="A5" s="56" t="str">
        <f>'Por año'!A92</f>
        <v>21-22</v>
      </c>
      <c r="B5" s="56" t="str">
        <f>'Por año'!B92</f>
        <v>Geografía</v>
      </c>
      <c r="C5" s="19">
        <f>'Por año'!C92</f>
        <v>3</v>
      </c>
      <c r="D5" s="56" t="str">
        <f t="shared" si="0"/>
        <v>21-22(3)</v>
      </c>
      <c r="E5" s="20">
        <f>'Por año'!E92</f>
        <v>0.33329999999999999</v>
      </c>
      <c r="F5" s="56">
        <f>'Por año'!F92</f>
        <v>4.33</v>
      </c>
      <c r="G5" s="56">
        <f>'Por año'!G92</f>
        <v>6.8</v>
      </c>
      <c r="H5" s="20">
        <f>'Por año'!H92</f>
        <v>0.66759999999999997</v>
      </c>
      <c r="I5" s="56">
        <f>'Por año'!I92</f>
        <v>5.69</v>
      </c>
    </row>
    <row r="6" spans="1:10" ht="15.75" customHeight="1">
      <c r="A6" s="56" t="str">
        <f>'Por año'!A111</f>
        <v>20-21</v>
      </c>
      <c r="B6" s="56" t="str">
        <f>'Por año'!B111</f>
        <v>Geografía</v>
      </c>
      <c r="C6" s="19">
        <f>'Por año'!C111</f>
        <v>5</v>
      </c>
      <c r="D6" s="56" t="str">
        <f t="shared" si="0"/>
        <v>20-21(5)</v>
      </c>
      <c r="E6" s="20">
        <f>'Por año'!E111</f>
        <v>0.8</v>
      </c>
      <c r="F6" s="56">
        <f>'Por año'!F111</f>
        <v>7.15</v>
      </c>
      <c r="G6" s="56">
        <f>'Por año'!G111</f>
        <v>7.06</v>
      </c>
      <c r="H6" s="20">
        <f>'Por año'!H111</f>
        <v>0.83899999999999997</v>
      </c>
      <c r="I6" s="56">
        <f>'Por año'!I111</f>
        <v>6.4</v>
      </c>
    </row>
    <row r="7" spans="1:10" ht="15.75" customHeight="1">
      <c r="A7" s="56" t="str">
        <f>'Por año'!A130</f>
        <v>19-20</v>
      </c>
      <c r="B7" s="56" t="str">
        <f>'Por año'!B130</f>
        <v>Geografía</v>
      </c>
      <c r="C7" s="19">
        <f>'Por año'!C130</f>
        <v>10</v>
      </c>
      <c r="D7" s="56" t="str">
        <f t="shared" si="0"/>
        <v>19-20(10)</v>
      </c>
      <c r="E7" s="20">
        <f>'Por año'!E130</f>
        <v>0.5</v>
      </c>
      <c r="F7" s="56">
        <f>'Por año'!F130</f>
        <v>4.6500000000000004</v>
      </c>
      <c r="G7" s="56">
        <f>'Por año'!G130</f>
        <v>8.33</v>
      </c>
      <c r="H7" s="20">
        <f>'Por año'!H130</f>
        <v>0.69359999999999999</v>
      </c>
      <c r="I7" s="56">
        <f>'Por año'!I130</f>
        <v>5.7060000000000004</v>
      </c>
    </row>
    <row r="8" spans="1:10" ht="15.75" customHeight="1">
      <c r="A8" s="56" t="str">
        <f>'Por año'!A149</f>
        <v>18-19</v>
      </c>
      <c r="B8" s="56" t="str">
        <f>'Por año'!B149</f>
        <v>Geografía</v>
      </c>
      <c r="C8" s="56">
        <f>'Por año'!C149</f>
        <v>12</v>
      </c>
      <c r="D8" s="56" t="str">
        <f t="shared" si="0"/>
        <v>18-19(12)</v>
      </c>
      <c r="E8" s="20">
        <f>'Por año'!E149</f>
        <v>0.5</v>
      </c>
      <c r="F8" s="56">
        <f>'Por año'!F149</f>
        <v>4.375</v>
      </c>
      <c r="G8" s="56">
        <f>'Por año'!G149</f>
        <v>6.33</v>
      </c>
      <c r="H8" s="20">
        <f>'Por año'!H149</f>
        <v>0.54269999999999996</v>
      </c>
      <c r="I8" s="56">
        <f>'Por año'!I149</f>
        <v>4.8579999999999997</v>
      </c>
    </row>
    <row r="9" spans="1:10" ht="15.75" customHeight="1">
      <c r="A9" s="56" t="str">
        <f>'Por año'!A168</f>
        <v>17-18</v>
      </c>
      <c r="B9" s="56" t="str">
        <f>'Por año'!B168</f>
        <v>Geografía</v>
      </c>
      <c r="C9" s="19">
        <f>'Por año'!C168</f>
        <v>8</v>
      </c>
      <c r="D9" s="56" t="str">
        <f t="shared" si="0"/>
        <v>17-18(8)</v>
      </c>
      <c r="E9" s="20">
        <f>'Por año'!E168</f>
        <v>0.375</v>
      </c>
      <c r="F9" s="56">
        <f>'Por año'!F168</f>
        <v>4.75</v>
      </c>
      <c r="G9" s="56">
        <f>'Por año'!G168</f>
        <v>6.94</v>
      </c>
      <c r="H9" s="20">
        <f>'Por año'!H168</f>
        <v>0.68030000000000002</v>
      </c>
      <c r="I9" s="56">
        <f>'Por año'!I168</f>
        <v>5.5279999999999996</v>
      </c>
    </row>
    <row r="10" spans="1:10" ht="15.75" customHeight="1">
      <c r="A10" s="56" t="str">
        <f>'Por año'!A187</f>
        <v>16-17</v>
      </c>
      <c r="B10" s="56" t="str">
        <f>'Por año'!B187</f>
        <v>Geografía</v>
      </c>
      <c r="C10" s="19">
        <f>'Por año'!C187</f>
        <v>3</v>
      </c>
      <c r="D10" s="56" t="str">
        <f t="shared" si="0"/>
        <v>16-17(3)</v>
      </c>
      <c r="E10" s="20">
        <f>'Por año'!E187</f>
        <v>0.66669999999999996</v>
      </c>
      <c r="F10" s="56">
        <f>'Por año'!F187</f>
        <v>5.5830000000000002</v>
      </c>
      <c r="G10" s="56">
        <f>'Por año'!G187</f>
        <v>6.72</v>
      </c>
      <c r="H10" s="20">
        <f>'Por año'!H187</f>
        <v>0.74480000000000002</v>
      </c>
      <c r="I10" s="56">
        <f>'Por año'!I187</f>
        <v>6.016</v>
      </c>
    </row>
    <row r="14" spans="1:10" ht="15.75" customHeight="1">
      <c r="J14" s="56">
        <f>'Por año'!K174</f>
        <v>0</v>
      </c>
    </row>
    <row r="15" spans="1:10" ht="15.75" customHeight="1">
      <c r="A15" s="56">
        <f>'Por año'!A194</f>
        <v>0</v>
      </c>
      <c r="B15" s="56">
        <f>'Por año'!B194</f>
        <v>0</v>
      </c>
      <c r="C15" s="19">
        <f>'Por año'!C194</f>
        <v>0</v>
      </c>
      <c r="E15" s="56">
        <f>'Por año'!E194</f>
        <v>0</v>
      </c>
      <c r="F15" s="56">
        <f>'Por año'!F194</f>
        <v>0</v>
      </c>
      <c r="H15" s="20">
        <f>'Por año'!H194</f>
        <v>0</v>
      </c>
      <c r="I15" s="56">
        <f>'Por año'!I194</f>
        <v>0</v>
      </c>
      <c r="J15" s="56">
        <f>'Por año'!K175</f>
        <v>0</v>
      </c>
    </row>
    <row r="16" spans="1:10" ht="15.75" customHeight="1">
      <c r="A16" s="56">
        <f>'Por año'!A195</f>
        <v>0</v>
      </c>
      <c r="B16" s="56">
        <f>'Por año'!B195</f>
        <v>0</v>
      </c>
      <c r="C16" s="19">
        <f>'Por año'!C195</f>
        <v>0</v>
      </c>
      <c r="E16" s="56">
        <f>'Por año'!E195</f>
        <v>0</v>
      </c>
      <c r="F16" s="56">
        <f>'Por año'!F195</f>
        <v>0</v>
      </c>
      <c r="H16" s="20">
        <f>'Por año'!H195</f>
        <v>0</v>
      </c>
      <c r="I16" s="56">
        <f>'Por año'!I195</f>
        <v>0</v>
      </c>
      <c r="J16" s="56">
        <f>'Por año'!K176</f>
        <v>0</v>
      </c>
    </row>
    <row r="17" spans="1:10" ht="15.75" customHeight="1">
      <c r="A17" s="56">
        <f>'Por año'!A196</f>
        <v>0</v>
      </c>
      <c r="B17" s="56">
        <f>'Por año'!B196</f>
        <v>0</v>
      </c>
      <c r="C17" s="19">
        <f>'Por año'!C196</f>
        <v>0</v>
      </c>
      <c r="E17" s="56">
        <f>'Por año'!E196</f>
        <v>0</v>
      </c>
      <c r="F17" s="56">
        <f>'Por año'!F196</f>
        <v>0</v>
      </c>
      <c r="H17" s="20">
        <f>'Por año'!H196</f>
        <v>0</v>
      </c>
      <c r="I17" s="56">
        <f>'Por año'!I196</f>
        <v>0</v>
      </c>
      <c r="J17" s="56">
        <f>'Por año'!K177</f>
        <v>0</v>
      </c>
    </row>
    <row r="18" spans="1:10" ht="15.75" customHeight="1">
      <c r="A18" s="56">
        <f>'Por año'!A197</f>
        <v>0</v>
      </c>
      <c r="B18" s="56">
        <f>'Por año'!B197</f>
        <v>0</v>
      </c>
      <c r="C18" s="19">
        <f>'Por año'!C197</f>
        <v>0</v>
      </c>
      <c r="E18" s="56">
        <f>'Por año'!E197</f>
        <v>0</v>
      </c>
      <c r="F18" s="56">
        <f>'Por año'!F197</f>
        <v>0</v>
      </c>
      <c r="H18" s="20">
        <f>'Por año'!H197</f>
        <v>0</v>
      </c>
      <c r="I18" s="56">
        <f>'Por año'!I197</f>
        <v>0</v>
      </c>
      <c r="J18" s="56">
        <f>'Por año'!K178</f>
        <v>0</v>
      </c>
    </row>
    <row r="19" spans="1:10" ht="15.75" customHeight="1">
      <c r="A19" s="56">
        <f>'Por año'!A198</f>
        <v>0</v>
      </c>
      <c r="B19" s="56">
        <f>'Por año'!B198</f>
        <v>0</v>
      </c>
      <c r="C19" s="19">
        <f>'Por año'!C198</f>
        <v>0</v>
      </c>
      <c r="E19" s="56">
        <f>'Por año'!E198</f>
        <v>0</v>
      </c>
      <c r="F19" s="56">
        <f>'Por año'!F198</f>
        <v>0</v>
      </c>
      <c r="H19" s="20">
        <f>'Por año'!H198</f>
        <v>0</v>
      </c>
      <c r="I19" s="56">
        <f>'Por año'!I198</f>
        <v>0</v>
      </c>
      <c r="J19" s="56">
        <f>'Por año'!K179</f>
        <v>0</v>
      </c>
    </row>
    <row r="20" spans="1:10" ht="15.75" customHeight="1">
      <c r="A20" s="56">
        <f>'Por año'!A199</f>
        <v>0</v>
      </c>
      <c r="B20" s="56">
        <f>'Por año'!B199</f>
        <v>0</v>
      </c>
      <c r="C20" s="19">
        <f>'Por año'!C199</f>
        <v>0</v>
      </c>
      <c r="E20" s="56">
        <f>'Por año'!E199</f>
        <v>0</v>
      </c>
      <c r="F20" s="56">
        <f>'Por año'!F199</f>
        <v>0</v>
      </c>
      <c r="H20" s="20">
        <f>'Por año'!H199</f>
        <v>0</v>
      </c>
      <c r="I20" s="56">
        <f>'Por año'!I199</f>
        <v>0</v>
      </c>
      <c r="J20" s="56">
        <f>'Por año'!K180</f>
        <v>0</v>
      </c>
    </row>
    <row r="21" spans="1:10" ht="15.75" customHeight="1">
      <c r="A21" s="56">
        <f>'Por año'!A200</f>
        <v>0</v>
      </c>
      <c r="B21" s="56">
        <f>'Por año'!B200</f>
        <v>0</v>
      </c>
      <c r="C21" s="19">
        <f>'Por año'!C200</f>
        <v>0</v>
      </c>
      <c r="E21" s="56">
        <f>'Por año'!E200</f>
        <v>0</v>
      </c>
      <c r="F21" s="56">
        <f>'Por año'!F200</f>
        <v>0</v>
      </c>
      <c r="H21" s="20">
        <f>'Por año'!H200</f>
        <v>0</v>
      </c>
      <c r="I21" s="56">
        <f>'Por año'!I200</f>
        <v>0</v>
      </c>
      <c r="J21" s="56">
        <f>'Por año'!K181</f>
        <v>0</v>
      </c>
    </row>
    <row r="22" spans="1:10" ht="15.75" customHeight="1">
      <c r="A22" s="56">
        <f>'Por año'!A201</f>
        <v>0</v>
      </c>
      <c r="B22" s="56">
        <f>'Por año'!B201</f>
        <v>0</v>
      </c>
      <c r="C22" s="19">
        <f>'Por año'!C201</f>
        <v>0</v>
      </c>
      <c r="E22" s="56">
        <f>'Por año'!E201</f>
        <v>0</v>
      </c>
      <c r="F22" s="56">
        <f>'Por año'!F201</f>
        <v>0</v>
      </c>
      <c r="H22" s="20">
        <f>'Por año'!H201</f>
        <v>0</v>
      </c>
      <c r="I22" s="56">
        <f>'Por año'!I201</f>
        <v>0</v>
      </c>
      <c r="J22" s="56">
        <f>'Por año'!K182</f>
        <v>0</v>
      </c>
    </row>
    <row r="23" spans="1:10" ht="15.75" customHeight="1">
      <c r="A23" s="56">
        <f>'Por año'!A202</f>
        <v>0</v>
      </c>
      <c r="B23" s="56">
        <f>'Por año'!B202</f>
        <v>0</v>
      </c>
      <c r="C23" s="19">
        <f>'Por año'!C202</f>
        <v>0</v>
      </c>
      <c r="E23" s="56">
        <f>'Por año'!E202</f>
        <v>0</v>
      </c>
      <c r="F23" s="56">
        <f>'Por año'!F202</f>
        <v>0</v>
      </c>
      <c r="H23" s="20">
        <f>'Por año'!H202</f>
        <v>0</v>
      </c>
      <c r="I23" s="56">
        <f>'Por año'!I202</f>
        <v>0</v>
      </c>
      <c r="J23" s="56">
        <f>'Por año'!K183</f>
        <v>0</v>
      </c>
    </row>
    <row r="24" spans="1:10" ht="15.75" customHeight="1">
      <c r="A24" s="56">
        <f>'Por año'!A203</f>
        <v>0</v>
      </c>
      <c r="B24" s="56">
        <f>'Por año'!B203</f>
        <v>0</v>
      </c>
      <c r="C24" s="19">
        <f>'Por año'!C203</f>
        <v>0</v>
      </c>
      <c r="E24" s="56">
        <f>'Por año'!E203</f>
        <v>0</v>
      </c>
      <c r="F24" s="56">
        <f>'Por año'!F203</f>
        <v>0</v>
      </c>
      <c r="H24" s="20">
        <f>'Por año'!H203</f>
        <v>0</v>
      </c>
      <c r="I24" s="56">
        <f>'Por año'!I203</f>
        <v>0</v>
      </c>
      <c r="J24" s="56">
        <f>'Por año'!K184</f>
        <v>0</v>
      </c>
    </row>
    <row r="25" spans="1:10" ht="15.75" customHeight="1">
      <c r="A25" s="56">
        <f>'Por año'!A204</f>
        <v>0</v>
      </c>
      <c r="B25" s="56">
        <f>'Por año'!B204</f>
        <v>0</v>
      </c>
      <c r="C25" s="19">
        <f>'Por año'!C204</f>
        <v>0</v>
      </c>
      <c r="E25" s="56">
        <f>'Por año'!E204</f>
        <v>0</v>
      </c>
      <c r="F25" s="56">
        <f>'Por año'!F204</f>
        <v>0</v>
      </c>
      <c r="H25" s="20">
        <f>'Por año'!H204</f>
        <v>0</v>
      </c>
      <c r="I25" s="56">
        <f>'Por año'!I204</f>
        <v>0</v>
      </c>
      <c r="J25" s="56">
        <f>'Por año'!K185</f>
        <v>0</v>
      </c>
    </row>
    <row r="26" spans="1:10" ht="15.75" customHeight="1">
      <c r="A26" s="56">
        <f>'Por año'!A205</f>
        <v>0</v>
      </c>
      <c r="B26" s="56">
        <f>'Por año'!B205</f>
        <v>0</v>
      </c>
      <c r="C26" s="19">
        <f>'Por año'!C205</f>
        <v>0</v>
      </c>
      <c r="E26" s="56">
        <f>'Por año'!E205</f>
        <v>0</v>
      </c>
      <c r="F26" s="56">
        <f>'Por año'!F205</f>
        <v>0</v>
      </c>
      <c r="H26" s="20">
        <f>'Por año'!H205</f>
        <v>0</v>
      </c>
      <c r="I26" s="56">
        <f>'Por año'!I205</f>
        <v>0</v>
      </c>
      <c r="J26" s="56">
        <f>'Por año'!K186</f>
        <v>0</v>
      </c>
    </row>
    <row r="27" spans="1:10" ht="15.75" customHeight="1">
      <c r="A27" s="56">
        <f>'Por año'!A206</f>
        <v>0</v>
      </c>
      <c r="B27" s="56">
        <f>'Por año'!B206</f>
        <v>0</v>
      </c>
      <c r="C27" s="19">
        <f>'Por año'!C206</f>
        <v>0</v>
      </c>
      <c r="E27" s="56">
        <f>'Por año'!E206</f>
        <v>0</v>
      </c>
      <c r="F27" s="56">
        <f>'Por año'!F206</f>
        <v>0</v>
      </c>
      <c r="H27" s="20">
        <f>'Por año'!H206</f>
        <v>0</v>
      </c>
      <c r="I27" s="56">
        <f>'Por año'!I206</f>
        <v>0</v>
      </c>
      <c r="J27" s="56">
        <f>'Por año'!K187</f>
        <v>0</v>
      </c>
    </row>
    <row r="28" spans="1:10" ht="15.75" customHeight="1">
      <c r="A28" s="56">
        <f>'Por año'!A207</f>
        <v>0</v>
      </c>
      <c r="B28" s="56">
        <f>'Por año'!B207</f>
        <v>0</v>
      </c>
      <c r="C28" s="19">
        <f>'Por año'!C207</f>
        <v>0</v>
      </c>
      <c r="E28" s="56">
        <f>'Por año'!E207</f>
        <v>0</v>
      </c>
      <c r="F28" s="56">
        <f>'Por año'!F207</f>
        <v>0</v>
      </c>
      <c r="H28" s="20">
        <f>'Por año'!H207</f>
        <v>0</v>
      </c>
      <c r="I28" s="56">
        <f>'Por año'!I207</f>
        <v>0</v>
      </c>
      <c r="J28" s="56">
        <f>'Por año'!K188</f>
        <v>0</v>
      </c>
    </row>
    <row r="29" spans="1:10" ht="15.75" customHeight="1">
      <c r="A29" s="56">
        <f>'Por año'!A208</f>
        <v>0</v>
      </c>
      <c r="B29" s="56">
        <f>'Por año'!B208</f>
        <v>0</v>
      </c>
      <c r="C29" s="19">
        <f>'Por año'!C208</f>
        <v>0</v>
      </c>
      <c r="E29" s="56">
        <f>'Por año'!E208</f>
        <v>0</v>
      </c>
      <c r="F29" s="56">
        <f>'Por año'!F208</f>
        <v>0</v>
      </c>
      <c r="H29" s="20">
        <f>'Por año'!H208</f>
        <v>0</v>
      </c>
      <c r="I29" s="56">
        <f>'Por año'!I208</f>
        <v>0</v>
      </c>
      <c r="J29" s="56">
        <f>'Por año'!K189</f>
        <v>0</v>
      </c>
    </row>
    <row r="30" spans="1:10" ht="15.75" customHeight="1">
      <c r="A30" s="56">
        <f>'Por año'!A209</f>
        <v>0</v>
      </c>
      <c r="B30" s="56">
        <f>'Por año'!B209</f>
        <v>0</v>
      </c>
      <c r="C30" s="19">
        <f>'Por año'!C209</f>
        <v>0</v>
      </c>
      <c r="E30" s="56">
        <f>'Por año'!E209</f>
        <v>0</v>
      </c>
      <c r="F30" s="56">
        <f>'Por año'!F209</f>
        <v>0</v>
      </c>
      <c r="H30" s="20">
        <f>'Por año'!H209</f>
        <v>0</v>
      </c>
      <c r="I30" s="56">
        <f>'Por año'!I209</f>
        <v>0</v>
      </c>
      <c r="J30" s="56">
        <f>'Por año'!K190</f>
        <v>0</v>
      </c>
    </row>
    <row r="31" spans="1:10" ht="15.75" customHeight="1">
      <c r="A31" s="56">
        <f>'Por año'!A210</f>
        <v>0</v>
      </c>
      <c r="B31" s="56">
        <f>'Por año'!B210</f>
        <v>0</v>
      </c>
      <c r="C31" s="19">
        <f>'Por año'!C210</f>
        <v>0</v>
      </c>
      <c r="E31" s="56">
        <f>'Por año'!E210</f>
        <v>0</v>
      </c>
      <c r="F31" s="56">
        <f>'Por año'!F210</f>
        <v>0</v>
      </c>
      <c r="H31" s="20">
        <f>'Por año'!H210</f>
        <v>0</v>
      </c>
      <c r="I31" s="56">
        <f>'Por año'!I210</f>
        <v>0</v>
      </c>
      <c r="J31" s="56">
        <f>'Por año'!K191</f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33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3" spans="1:10" ht="15.75" customHeight="1">
      <c r="A3" s="56" t="str">
        <f>'Por año'!A55</f>
        <v>23-24</v>
      </c>
      <c r="B3" s="56" t="str">
        <f>'Por año'!B55</f>
        <v>Francés</v>
      </c>
      <c r="C3" s="19">
        <f>'Por año'!C55</f>
        <v>0</v>
      </c>
      <c r="D3" s="56" t="str">
        <f t="shared" ref="D3:D10" si="0">CONCATENATE(A3,"(",C3,")")</f>
        <v>23-24(0)</v>
      </c>
      <c r="E3" s="20">
        <f>'Por año'!E55</f>
        <v>0</v>
      </c>
      <c r="F3" s="56">
        <f>'Por año'!F55</f>
        <v>0</v>
      </c>
      <c r="G3" s="56">
        <f>'Por año'!G55</f>
        <v>0</v>
      </c>
      <c r="H3" s="20">
        <f>'Por año'!H55</f>
        <v>0</v>
      </c>
      <c r="I3" s="56">
        <f>'Por año'!I55</f>
        <v>0</v>
      </c>
    </row>
    <row r="4" spans="1:10" ht="15.75" customHeight="1">
      <c r="A4" s="56" t="str">
        <f>'Por año'!A74</f>
        <v>22-23</v>
      </c>
      <c r="B4" s="56" t="str">
        <f>'Por año'!B74</f>
        <v>Francés</v>
      </c>
      <c r="C4" s="19">
        <f>'Por año'!C74</f>
        <v>0</v>
      </c>
      <c r="D4" s="56" t="str">
        <f t="shared" si="0"/>
        <v>22-23(0)</v>
      </c>
      <c r="E4" s="20">
        <f>'Por año'!E74</f>
        <v>0</v>
      </c>
      <c r="F4" s="56">
        <f>'Por año'!F74</f>
        <v>0</v>
      </c>
      <c r="G4" s="56">
        <f>'Por año'!G74</f>
        <v>0</v>
      </c>
      <c r="H4" s="20">
        <f>'Por año'!H74</f>
        <v>0.7802</v>
      </c>
      <c r="I4" s="56">
        <f>'Por año'!I74</f>
        <v>5.94</v>
      </c>
    </row>
    <row r="5" spans="1:10" ht="15.75" customHeight="1">
      <c r="A5" s="56" t="str">
        <f>'Por año'!A93</f>
        <v>21-22</v>
      </c>
      <c r="B5" s="56" t="str">
        <f>'Por año'!B93</f>
        <v>Francés</v>
      </c>
      <c r="C5" s="19">
        <f>'Por año'!C93</f>
        <v>2</v>
      </c>
      <c r="D5" s="56" t="str">
        <f t="shared" si="0"/>
        <v>21-22(2)</v>
      </c>
      <c r="E5" s="20">
        <f>'Por año'!E93</f>
        <v>0</v>
      </c>
      <c r="F5" s="56">
        <f>'Por año'!F93</f>
        <v>4.5</v>
      </c>
      <c r="G5" s="56">
        <f>'Por año'!G93</f>
        <v>8.83</v>
      </c>
      <c r="H5" s="20">
        <f>'Por año'!H93</f>
        <v>0.70589999999999997</v>
      </c>
      <c r="I5" s="56">
        <f>'Por año'!I93</f>
        <v>6.83</v>
      </c>
    </row>
    <row r="6" spans="1:10" ht="15.75" customHeight="1">
      <c r="A6" s="56" t="str">
        <f>'Por año'!A112</f>
        <v>20-21</v>
      </c>
      <c r="B6" s="56" t="str">
        <f>'Por año'!B112</f>
        <v>Francés</v>
      </c>
      <c r="C6" s="19">
        <f>'Por año'!C112</f>
        <v>1</v>
      </c>
      <c r="D6" s="56" t="str">
        <f t="shared" si="0"/>
        <v>20-21(1)</v>
      </c>
      <c r="E6" s="20">
        <f>'Por año'!E112</f>
        <v>1</v>
      </c>
      <c r="F6" s="56">
        <f>'Por año'!F112</f>
        <v>7.25</v>
      </c>
      <c r="G6" s="56">
        <f>'Por año'!G112</f>
        <v>8.25</v>
      </c>
      <c r="H6" s="20">
        <f>'Por año'!H112</f>
        <v>0.7903</v>
      </c>
      <c r="I6" s="56">
        <f>'Por año'!I112</f>
        <v>6.62</v>
      </c>
    </row>
    <row r="7" spans="1:10" ht="15.75" customHeight="1">
      <c r="A7" s="56" t="str">
        <f>'Por año'!A131</f>
        <v>19-20</v>
      </c>
      <c r="B7" s="56" t="str">
        <f>'Por año'!B131</f>
        <v>Francés</v>
      </c>
      <c r="C7" s="19">
        <f>'Por año'!C131</f>
        <v>2</v>
      </c>
      <c r="D7" s="56" t="str">
        <f t="shared" si="0"/>
        <v>19-20(2)</v>
      </c>
      <c r="E7" s="20">
        <f>'Por año'!E131</f>
        <v>1</v>
      </c>
      <c r="F7" s="56">
        <f>'Por año'!F131</f>
        <v>9.625</v>
      </c>
      <c r="G7" s="56">
        <f>'Por año'!G131</f>
        <v>9.67</v>
      </c>
      <c r="H7" s="20">
        <f>'Por año'!H131</f>
        <v>0.89470000000000005</v>
      </c>
      <c r="I7" s="56">
        <f>'Por año'!I131</f>
        <v>7.2220000000000004</v>
      </c>
    </row>
    <row r="8" spans="1:10" ht="15.75" customHeight="1">
      <c r="A8" s="56" t="str">
        <f>'Por año'!A150</f>
        <v>18-19</v>
      </c>
      <c r="B8" s="56" t="str">
        <f>'Por año'!B150</f>
        <v>Francés</v>
      </c>
      <c r="C8" s="56">
        <f>'Por año'!C150</f>
        <v>0</v>
      </c>
      <c r="D8" s="56" t="str">
        <f t="shared" si="0"/>
        <v>18-19(0)</v>
      </c>
      <c r="E8" s="56">
        <f>'Por año'!E150</f>
        <v>0</v>
      </c>
      <c r="F8" s="56">
        <f>'Por año'!F150</f>
        <v>0</v>
      </c>
      <c r="G8" s="56">
        <f>'Por año'!G150</f>
        <v>0</v>
      </c>
      <c r="H8" s="20">
        <f>'Por año'!H150</f>
        <v>0.90429999999999999</v>
      </c>
      <c r="I8" s="56">
        <f>'Por año'!I150</f>
        <v>6.968</v>
      </c>
    </row>
    <row r="9" spans="1:10" ht="15.75" customHeight="1">
      <c r="A9" s="56" t="str">
        <f>'Por año'!A169</f>
        <v>17-18</v>
      </c>
      <c r="B9" s="56" t="str">
        <f>'Por año'!B169</f>
        <v>Francés</v>
      </c>
      <c r="C9" s="19">
        <f>'Por año'!C169</f>
        <v>0</v>
      </c>
      <c r="D9" s="56" t="str">
        <f t="shared" si="0"/>
        <v>17-18(0)</v>
      </c>
      <c r="E9" s="20">
        <f>'Por año'!E169</f>
        <v>0</v>
      </c>
      <c r="F9" s="56">
        <f>'Por año'!F169</f>
        <v>0</v>
      </c>
      <c r="G9" s="56">
        <f>'Por año'!G169</f>
        <v>0</v>
      </c>
      <c r="H9" s="20">
        <f>'Por año'!H169</f>
        <v>0.9032</v>
      </c>
      <c r="I9" s="56">
        <f>'Por año'!I169</f>
        <v>7.0510000000000002</v>
      </c>
    </row>
    <row r="10" spans="1:10" ht="15.75" customHeight="1">
      <c r="A10" s="56" t="str">
        <f>'Por año'!A188</f>
        <v>16-17</v>
      </c>
      <c r="B10" s="56" t="str">
        <f>'Por año'!B188</f>
        <v>Francés</v>
      </c>
      <c r="C10" s="19">
        <f>'Por año'!C188</f>
        <v>0</v>
      </c>
      <c r="D10" s="56" t="str">
        <f t="shared" si="0"/>
        <v>16-17(0)</v>
      </c>
      <c r="E10" s="20">
        <f>'Por año'!E188</f>
        <v>0</v>
      </c>
      <c r="F10" s="56">
        <f>'Por año'!F188</f>
        <v>0</v>
      </c>
      <c r="G10" s="56">
        <f>'Por año'!G188</f>
        <v>0</v>
      </c>
      <c r="H10" s="20">
        <f>'Por año'!H188</f>
        <v>1</v>
      </c>
      <c r="I10" s="56">
        <f>'Por año'!I188</f>
        <v>7.3529999999999998</v>
      </c>
    </row>
    <row r="16" spans="1:10" ht="15.75" customHeight="1">
      <c r="J16" s="56">
        <f>'Por año'!K174</f>
        <v>0</v>
      </c>
    </row>
    <row r="17" spans="1:10" ht="15.75" customHeight="1">
      <c r="A17" s="56">
        <f>'Por año'!A194</f>
        <v>0</v>
      </c>
      <c r="B17" s="56">
        <f>'Por año'!B194</f>
        <v>0</v>
      </c>
      <c r="C17" s="19">
        <f>'Por año'!C194</f>
        <v>0</v>
      </c>
      <c r="E17" s="56">
        <f>'Por año'!E194</f>
        <v>0</v>
      </c>
      <c r="F17" s="56">
        <f>'Por año'!F194</f>
        <v>0</v>
      </c>
      <c r="H17" s="20">
        <f>'Por año'!H194</f>
        <v>0</v>
      </c>
      <c r="I17" s="56">
        <f>'Por año'!I194</f>
        <v>0</v>
      </c>
      <c r="J17" s="56">
        <f>'Por año'!K175</f>
        <v>0</v>
      </c>
    </row>
    <row r="18" spans="1:10" ht="15.75" customHeight="1">
      <c r="A18" s="56">
        <f>'Por año'!A195</f>
        <v>0</v>
      </c>
      <c r="B18" s="56">
        <f>'Por año'!B195</f>
        <v>0</v>
      </c>
      <c r="C18" s="19">
        <f>'Por año'!C195</f>
        <v>0</v>
      </c>
      <c r="E18" s="56">
        <f>'Por año'!E195</f>
        <v>0</v>
      </c>
      <c r="F18" s="56">
        <f>'Por año'!F195</f>
        <v>0</v>
      </c>
      <c r="H18" s="20">
        <f>'Por año'!H195</f>
        <v>0</v>
      </c>
      <c r="I18" s="56">
        <f>'Por año'!I195</f>
        <v>0</v>
      </c>
      <c r="J18" s="56">
        <f>'Por año'!K176</f>
        <v>0</v>
      </c>
    </row>
    <row r="19" spans="1:10" ht="15.75" customHeight="1">
      <c r="A19" s="56">
        <f>'Por año'!A196</f>
        <v>0</v>
      </c>
      <c r="B19" s="56">
        <f>'Por año'!B196</f>
        <v>0</v>
      </c>
      <c r="C19" s="19">
        <f>'Por año'!C196</f>
        <v>0</v>
      </c>
      <c r="E19" s="56">
        <f>'Por año'!E196</f>
        <v>0</v>
      </c>
      <c r="F19" s="56">
        <f>'Por año'!F196</f>
        <v>0</v>
      </c>
      <c r="H19" s="20">
        <f>'Por año'!H196</f>
        <v>0</v>
      </c>
      <c r="I19" s="56">
        <f>'Por año'!I196</f>
        <v>0</v>
      </c>
      <c r="J19" s="56">
        <f>'Por año'!K177</f>
        <v>0</v>
      </c>
    </row>
    <row r="20" spans="1:10" ht="15.75" customHeight="1">
      <c r="A20" s="56">
        <f>'Por año'!A197</f>
        <v>0</v>
      </c>
      <c r="B20" s="56">
        <f>'Por año'!B197</f>
        <v>0</v>
      </c>
      <c r="C20" s="19">
        <f>'Por año'!C197</f>
        <v>0</v>
      </c>
      <c r="E20" s="56">
        <f>'Por año'!E197</f>
        <v>0</v>
      </c>
      <c r="F20" s="56">
        <f>'Por año'!F197</f>
        <v>0</v>
      </c>
      <c r="H20" s="20">
        <f>'Por año'!H197</f>
        <v>0</v>
      </c>
      <c r="I20" s="56">
        <f>'Por año'!I197</f>
        <v>0</v>
      </c>
      <c r="J20" s="56">
        <f>'Por año'!K178</f>
        <v>0</v>
      </c>
    </row>
    <row r="21" spans="1:10" ht="15.75" customHeight="1">
      <c r="A21" s="56">
        <f>'Por año'!A198</f>
        <v>0</v>
      </c>
      <c r="B21" s="56">
        <f>'Por año'!B198</f>
        <v>0</v>
      </c>
      <c r="C21" s="19">
        <f>'Por año'!C198</f>
        <v>0</v>
      </c>
      <c r="E21" s="56">
        <f>'Por año'!E198</f>
        <v>0</v>
      </c>
      <c r="F21" s="56">
        <f>'Por año'!F198</f>
        <v>0</v>
      </c>
      <c r="H21" s="20">
        <f>'Por año'!H198</f>
        <v>0</v>
      </c>
      <c r="I21" s="56">
        <f>'Por año'!I198</f>
        <v>0</v>
      </c>
      <c r="J21" s="56">
        <f>'Por año'!K179</f>
        <v>0</v>
      </c>
    </row>
    <row r="22" spans="1:10" ht="15.75" customHeight="1">
      <c r="A22" s="56">
        <f>'Por año'!A199</f>
        <v>0</v>
      </c>
      <c r="B22" s="56">
        <f>'Por año'!B199</f>
        <v>0</v>
      </c>
      <c r="C22" s="19">
        <f>'Por año'!C199</f>
        <v>0</v>
      </c>
      <c r="E22" s="56">
        <f>'Por año'!E199</f>
        <v>0</v>
      </c>
      <c r="F22" s="56">
        <f>'Por año'!F199</f>
        <v>0</v>
      </c>
      <c r="H22" s="20">
        <f>'Por año'!H199</f>
        <v>0</v>
      </c>
      <c r="I22" s="56">
        <f>'Por año'!I199</f>
        <v>0</v>
      </c>
      <c r="J22" s="56">
        <f>'Por año'!K180</f>
        <v>0</v>
      </c>
    </row>
    <row r="23" spans="1:10" ht="15.75" customHeight="1">
      <c r="A23" s="56">
        <f>'Por año'!A200</f>
        <v>0</v>
      </c>
      <c r="B23" s="56">
        <f>'Por año'!B200</f>
        <v>0</v>
      </c>
      <c r="C23" s="19">
        <f>'Por año'!C200</f>
        <v>0</v>
      </c>
      <c r="E23" s="56">
        <f>'Por año'!E200</f>
        <v>0</v>
      </c>
      <c r="F23" s="56">
        <f>'Por año'!F200</f>
        <v>0</v>
      </c>
      <c r="H23" s="20">
        <f>'Por año'!H200</f>
        <v>0</v>
      </c>
      <c r="I23" s="56">
        <f>'Por año'!I200</f>
        <v>0</v>
      </c>
      <c r="J23" s="56">
        <f>'Por año'!K181</f>
        <v>0</v>
      </c>
    </row>
    <row r="24" spans="1:10" ht="15.75" customHeight="1">
      <c r="A24" s="56">
        <f>'Por año'!A201</f>
        <v>0</v>
      </c>
      <c r="B24" s="56">
        <f>'Por año'!B201</f>
        <v>0</v>
      </c>
      <c r="C24" s="19">
        <f>'Por año'!C201</f>
        <v>0</v>
      </c>
      <c r="E24" s="56">
        <f>'Por año'!E201</f>
        <v>0</v>
      </c>
      <c r="F24" s="56">
        <f>'Por año'!F201</f>
        <v>0</v>
      </c>
      <c r="H24" s="20">
        <f>'Por año'!H201</f>
        <v>0</v>
      </c>
      <c r="I24" s="56">
        <f>'Por año'!I201</f>
        <v>0</v>
      </c>
      <c r="J24" s="56">
        <f>'Por año'!K182</f>
        <v>0</v>
      </c>
    </row>
    <row r="25" spans="1:10" ht="15.75" customHeight="1">
      <c r="A25" s="56">
        <f>'Por año'!A202</f>
        <v>0</v>
      </c>
      <c r="B25" s="56">
        <f>'Por año'!B202</f>
        <v>0</v>
      </c>
      <c r="C25" s="19">
        <f>'Por año'!C202</f>
        <v>0</v>
      </c>
      <c r="E25" s="56">
        <f>'Por año'!E202</f>
        <v>0</v>
      </c>
      <c r="F25" s="56">
        <f>'Por año'!F202</f>
        <v>0</v>
      </c>
      <c r="H25" s="20">
        <f>'Por año'!H202</f>
        <v>0</v>
      </c>
      <c r="I25" s="56">
        <f>'Por año'!I202</f>
        <v>0</v>
      </c>
      <c r="J25" s="56">
        <f>'Por año'!K183</f>
        <v>0</v>
      </c>
    </row>
    <row r="26" spans="1:10" ht="15.75" customHeight="1">
      <c r="A26" s="56">
        <f>'Por año'!A203</f>
        <v>0</v>
      </c>
      <c r="B26" s="56">
        <f>'Por año'!B203</f>
        <v>0</v>
      </c>
      <c r="C26" s="19">
        <f>'Por año'!C203</f>
        <v>0</v>
      </c>
      <c r="E26" s="56">
        <f>'Por año'!E203</f>
        <v>0</v>
      </c>
      <c r="F26" s="56">
        <f>'Por año'!F203</f>
        <v>0</v>
      </c>
      <c r="H26" s="20">
        <f>'Por año'!H203</f>
        <v>0</v>
      </c>
      <c r="I26" s="56">
        <f>'Por año'!I203</f>
        <v>0</v>
      </c>
      <c r="J26" s="56">
        <f>'Por año'!K184</f>
        <v>0</v>
      </c>
    </row>
    <row r="27" spans="1:10" ht="15.75" customHeight="1">
      <c r="A27" s="56">
        <f>'Por año'!A204</f>
        <v>0</v>
      </c>
      <c r="B27" s="56">
        <f>'Por año'!B204</f>
        <v>0</v>
      </c>
      <c r="C27" s="19">
        <f>'Por año'!C204</f>
        <v>0</v>
      </c>
      <c r="E27" s="56">
        <f>'Por año'!E204</f>
        <v>0</v>
      </c>
      <c r="F27" s="56">
        <f>'Por año'!F204</f>
        <v>0</v>
      </c>
      <c r="H27" s="20">
        <f>'Por año'!H204</f>
        <v>0</v>
      </c>
      <c r="I27" s="56">
        <f>'Por año'!I204</f>
        <v>0</v>
      </c>
      <c r="J27" s="56">
        <f>'Por año'!K185</f>
        <v>0</v>
      </c>
    </row>
    <row r="28" spans="1:10" ht="15.75" customHeight="1">
      <c r="A28" s="56">
        <f>'Por año'!A205</f>
        <v>0</v>
      </c>
      <c r="B28" s="56">
        <f>'Por año'!B205</f>
        <v>0</v>
      </c>
      <c r="C28" s="19">
        <f>'Por año'!C205</f>
        <v>0</v>
      </c>
      <c r="E28" s="56">
        <f>'Por año'!E205</f>
        <v>0</v>
      </c>
      <c r="F28" s="56">
        <f>'Por año'!F205</f>
        <v>0</v>
      </c>
      <c r="H28" s="20">
        <f>'Por año'!H205</f>
        <v>0</v>
      </c>
      <c r="I28" s="56">
        <f>'Por año'!I205</f>
        <v>0</v>
      </c>
      <c r="J28" s="56">
        <f>'Por año'!K186</f>
        <v>0</v>
      </c>
    </row>
    <row r="29" spans="1:10" ht="15.75" customHeight="1">
      <c r="A29" s="56">
        <f>'Por año'!A206</f>
        <v>0</v>
      </c>
      <c r="B29" s="56">
        <f>'Por año'!B206</f>
        <v>0</v>
      </c>
      <c r="C29" s="19">
        <f>'Por año'!C206</f>
        <v>0</v>
      </c>
      <c r="E29" s="56">
        <f>'Por año'!E206</f>
        <v>0</v>
      </c>
      <c r="F29" s="56">
        <f>'Por año'!F206</f>
        <v>0</v>
      </c>
      <c r="H29" s="20">
        <f>'Por año'!H206</f>
        <v>0</v>
      </c>
      <c r="I29" s="56">
        <f>'Por año'!I206</f>
        <v>0</v>
      </c>
      <c r="J29" s="56">
        <f>'Por año'!K187</f>
        <v>0</v>
      </c>
    </row>
    <row r="30" spans="1:10" ht="15.75" customHeight="1">
      <c r="A30" s="56">
        <f>'Por año'!A207</f>
        <v>0</v>
      </c>
      <c r="B30" s="56">
        <f>'Por año'!B207</f>
        <v>0</v>
      </c>
      <c r="C30" s="19">
        <f>'Por año'!C207</f>
        <v>0</v>
      </c>
      <c r="E30" s="56">
        <f>'Por año'!E207</f>
        <v>0</v>
      </c>
      <c r="F30" s="56">
        <f>'Por año'!F207</f>
        <v>0</v>
      </c>
      <c r="H30" s="20">
        <f>'Por año'!H207</f>
        <v>0</v>
      </c>
      <c r="I30" s="56">
        <f>'Por año'!I207</f>
        <v>0</v>
      </c>
      <c r="J30" s="56">
        <f>'Por año'!K188</f>
        <v>0</v>
      </c>
    </row>
    <row r="31" spans="1:10" ht="15.75" customHeight="1">
      <c r="A31" s="56">
        <f>'Por año'!A208</f>
        <v>0</v>
      </c>
      <c r="B31" s="56">
        <f>'Por año'!B208</f>
        <v>0</v>
      </c>
      <c r="C31" s="19">
        <f>'Por año'!C208</f>
        <v>0</v>
      </c>
      <c r="E31" s="56">
        <f>'Por año'!E208</f>
        <v>0</v>
      </c>
      <c r="F31" s="56">
        <f>'Por año'!F208</f>
        <v>0</v>
      </c>
      <c r="H31" s="20">
        <f>'Por año'!H208</f>
        <v>0</v>
      </c>
      <c r="I31" s="56">
        <f>'Por año'!I208</f>
        <v>0</v>
      </c>
      <c r="J31" s="56">
        <f>'Por año'!K189</f>
        <v>0</v>
      </c>
    </row>
    <row r="32" spans="1:10" ht="15.75" customHeight="1">
      <c r="A32" s="56">
        <f>'Por año'!A209</f>
        <v>0</v>
      </c>
      <c r="B32" s="56">
        <f>'Por año'!B209</f>
        <v>0</v>
      </c>
      <c r="C32" s="19">
        <f>'Por año'!C209</f>
        <v>0</v>
      </c>
      <c r="E32" s="56">
        <f>'Por año'!E209</f>
        <v>0</v>
      </c>
      <c r="F32" s="56">
        <f>'Por año'!F209</f>
        <v>0</v>
      </c>
      <c r="H32" s="20">
        <f>'Por año'!H209</f>
        <v>0</v>
      </c>
      <c r="I32" s="56">
        <f>'Por año'!I209</f>
        <v>0</v>
      </c>
      <c r="J32" s="56">
        <f>'Por año'!K190</f>
        <v>0</v>
      </c>
    </row>
    <row r="33" spans="1:10" ht="15.75" customHeight="1">
      <c r="A33" s="56">
        <f>'Por año'!A210</f>
        <v>0</v>
      </c>
      <c r="B33" s="56">
        <f>'Por año'!B210</f>
        <v>0</v>
      </c>
      <c r="C33" s="19">
        <f>'Por año'!C210</f>
        <v>0</v>
      </c>
      <c r="E33" s="56">
        <f>'Por año'!E210</f>
        <v>0</v>
      </c>
      <c r="F33" s="56">
        <f>'Por año'!F210</f>
        <v>0</v>
      </c>
      <c r="H33" s="20">
        <f>'Por año'!H210</f>
        <v>0</v>
      </c>
      <c r="I33" s="56">
        <f>'Por año'!I210</f>
        <v>0</v>
      </c>
      <c r="J33" s="56">
        <f>'Por año'!K191</f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33"/>
  <sheetViews>
    <sheetView workbookViewId="0"/>
  </sheetViews>
  <sheetFormatPr baseColWidth="10" defaultColWidth="12.61328125" defaultRowHeight="15.75" customHeight="1"/>
  <cols>
    <col min="1" max="1" width="5.23046875" customWidth="1"/>
    <col min="2" max="2" width="7.3828125" customWidth="1"/>
    <col min="3" max="3" width="3" customWidth="1"/>
    <col min="4" max="4" width="8.23046875" customWidth="1"/>
    <col min="5" max="5" width="6.3828125" customWidth="1"/>
    <col min="6" max="7" width="5.4609375" customWidth="1"/>
    <col min="8" max="8" width="6.61328125" customWidth="1"/>
    <col min="9" max="9" width="5.15234375" customWidth="1"/>
  </cols>
  <sheetData>
    <row r="1" spans="1:10" ht="15.75" customHeight="1">
      <c r="A1" s="56">
        <f>'Por año'!A117</f>
        <v>0</v>
      </c>
      <c r="B1" s="56" t="str">
        <f>'Por año'!B117</f>
        <v>Materia</v>
      </c>
      <c r="C1" s="57" t="str">
        <f>'Por año'!C117</f>
        <v>Presentados</v>
      </c>
      <c r="D1" s="58"/>
      <c r="E1" s="58" t="str">
        <f>'Por año'!E117</f>
        <v>% LSG</v>
      </c>
      <c r="F1" s="58" t="str">
        <f>'Por año'!F117</f>
        <v>NM LSG EvAU</v>
      </c>
      <c r="G1" s="58" t="str">
        <f>'Por año'!G117</f>
        <v>NM LSG Cole</v>
      </c>
      <c r="H1" s="59" t="str">
        <f>'Por año'!H117</f>
        <v>% UC3M</v>
      </c>
      <c r="I1" s="58" t="str">
        <f>'Por año'!I117</f>
        <v>NM UC3M</v>
      </c>
      <c r="J1" s="56">
        <f>'Por año'!K98</f>
        <v>0</v>
      </c>
    </row>
    <row r="2" spans="1:10" ht="15.75" customHeight="1">
      <c r="A2" s="56" t="str">
        <f>'Por año'!A36</f>
        <v>24-25</v>
      </c>
      <c r="B2" s="56" t="str">
        <f>'Por año'!B36</f>
        <v>Tecno e Ing</v>
      </c>
      <c r="C2" s="19">
        <f>'Por año'!C36</f>
        <v>0</v>
      </c>
      <c r="D2" s="56" t="str">
        <f>CONCATENATE(A2,"(",C2,")")</f>
        <v>24-25(0)</v>
      </c>
      <c r="E2" s="20">
        <f>'Por año'!E36</f>
        <v>0</v>
      </c>
      <c r="F2" s="56">
        <f>'Por año'!F36</f>
        <v>0</v>
      </c>
      <c r="G2" s="56">
        <f>'Por año'!G36</f>
        <v>7.73</v>
      </c>
      <c r="H2" s="20">
        <f>'Por año'!H36</f>
        <v>0.70679999999999998</v>
      </c>
      <c r="I2" s="56">
        <f>'Por año'!I36</f>
        <v>6.1070000000000002</v>
      </c>
    </row>
    <row r="16" spans="1:10" ht="15.75" customHeight="1">
      <c r="J16" s="56">
        <f>'Por año'!K174</f>
        <v>0</v>
      </c>
    </row>
    <row r="17" spans="1:10" ht="15.75" customHeight="1">
      <c r="A17" s="56">
        <f>'Por año'!A194</f>
        <v>0</v>
      </c>
      <c r="B17" s="56">
        <f>'Por año'!B194</f>
        <v>0</v>
      </c>
      <c r="C17" s="19">
        <f>'Por año'!C194</f>
        <v>0</v>
      </c>
      <c r="E17" s="56">
        <f>'Por año'!E194</f>
        <v>0</v>
      </c>
      <c r="F17" s="56">
        <f>'Por año'!F194</f>
        <v>0</v>
      </c>
      <c r="H17" s="20">
        <f>'Por año'!H194</f>
        <v>0</v>
      </c>
      <c r="I17" s="56">
        <f>'Por año'!I194</f>
        <v>0</v>
      </c>
      <c r="J17" s="56">
        <f>'Por año'!K175</f>
        <v>0</v>
      </c>
    </row>
    <row r="18" spans="1:10" ht="15.75" customHeight="1">
      <c r="A18" s="56">
        <f>'Por año'!A195</f>
        <v>0</v>
      </c>
      <c r="B18" s="56">
        <f>'Por año'!B195</f>
        <v>0</v>
      </c>
      <c r="C18" s="19">
        <f>'Por año'!C195</f>
        <v>0</v>
      </c>
      <c r="E18" s="56">
        <f>'Por año'!E195</f>
        <v>0</v>
      </c>
      <c r="F18" s="56">
        <f>'Por año'!F195</f>
        <v>0</v>
      </c>
      <c r="H18" s="20">
        <f>'Por año'!H195</f>
        <v>0</v>
      </c>
      <c r="I18" s="56">
        <f>'Por año'!I195</f>
        <v>0</v>
      </c>
      <c r="J18" s="56">
        <f>'Por año'!K176</f>
        <v>0</v>
      </c>
    </row>
    <row r="19" spans="1:10" ht="15.75" customHeight="1">
      <c r="A19" s="56">
        <f>'Por año'!A196</f>
        <v>0</v>
      </c>
      <c r="B19" s="56">
        <f>'Por año'!B196</f>
        <v>0</v>
      </c>
      <c r="C19" s="19">
        <f>'Por año'!C196</f>
        <v>0</v>
      </c>
      <c r="E19" s="56">
        <f>'Por año'!E196</f>
        <v>0</v>
      </c>
      <c r="F19" s="56">
        <f>'Por año'!F196</f>
        <v>0</v>
      </c>
      <c r="H19" s="20">
        <f>'Por año'!H196</f>
        <v>0</v>
      </c>
      <c r="I19" s="56">
        <f>'Por año'!I196</f>
        <v>0</v>
      </c>
      <c r="J19" s="56">
        <f>'Por año'!K177</f>
        <v>0</v>
      </c>
    </row>
    <row r="20" spans="1:10" ht="15.75" customHeight="1">
      <c r="A20" s="56">
        <f>'Por año'!A197</f>
        <v>0</v>
      </c>
      <c r="B20" s="56">
        <f>'Por año'!B197</f>
        <v>0</v>
      </c>
      <c r="C20" s="19">
        <f>'Por año'!C197</f>
        <v>0</v>
      </c>
      <c r="E20" s="56">
        <f>'Por año'!E197</f>
        <v>0</v>
      </c>
      <c r="F20" s="56">
        <f>'Por año'!F197</f>
        <v>0</v>
      </c>
      <c r="H20" s="20">
        <f>'Por año'!H197</f>
        <v>0</v>
      </c>
      <c r="I20" s="56">
        <f>'Por año'!I197</f>
        <v>0</v>
      </c>
      <c r="J20" s="56">
        <f>'Por año'!K178</f>
        <v>0</v>
      </c>
    </row>
    <row r="21" spans="1:10" ht="15.75" customHeight="1">
      <c r="A21" s="56">
        <f>'Por año'!A198</f>
        <v>0</v>
      </c>
      <c r="B21" s="56">
        <f>'Por año'!B198</f>
        <v>0</v>
      </c>
      <c r="C21" s="19">
        <f>'Por año'!C198</f>
        <v>0</v>
      </c>
      <c r="E21" s="56">
        <f>'Por año'!E198</f>
        <v>0</v>
      </c>
      <c r="F21" s="56">
        <f>'Por año'!F198</f>
        <v>0</v>
      </c>
      <c r="H21" s="20">
        <f>'Por año'!H198</f>
        <v>0</v>
      </c>
      <c r="I21" s="56">
        <f>'Por año'!I198</f>
        <v>0</v>
      </c>
      <c r="J21" s="56">
        <f>'Por año'!K179</f>
        <v>0</v>
      </c>
    </row>
    <row r="22" spans="1:10" ht="15.75" customHeight="1">
      <c r="A22" s="56">
        <f>'Por año'!A199</f>
        <v>0</v>
      </c>
      <c r="B22" s="56">
        <f>'Por año'!B199</f>
        <v>0</v>
      </c>
      <c r="C22" s="19">
        <f>'Por año'!C199</f>
        <v>0</v>
      </c>
      <c r="E22" s="56">
        <f>'Por año'!E199</f>
        <v>0</v>
      </c>
      <c r="F22" s="56">
        <f>'Por año'!F199</f>
        <v>0</v>
      </c>
      <c r="H22" s="20">
        <f>'Por año'!H199</f>
        <v>0</v>
      </c>
      <c r="I22" s="56">
        <f>'Por año'!I199</f>
        <v>0</v>
      </c>
      <c r="J22" s="56">
        <f>'Por año'!K180</f>
        <v>0</v>
      </c>
    </row>
    <row r="23" spans="1:10" ht="15.75" customHeight="1">
      <c r="A23" s="56">
        <f>'Por año'!A200</f>
        <v>0</v>
      </c>
      <c r="B23" s="56">
        <f>'Por año'!B200</f>
        <v>0</v>
      </c>
      <c r="C23" s="19">
        <f>'Por año'!C200</f>
        <v>0</v>
      </c>
      <c r="E23" s="56">
        <f>'Por año'!E200</f>
        <v>0</v>
      </c>
      <c r="F23" s="56">
        <f>'Por año'!F200</f>
        <v>0</v>
      </c>
      <c r="H23" s="20">
        <f>'Por año'!H200</f>
        <v>0</v>
      </c>
      <c r="I23" s="56">
        <f>'Por año'!I200</f>
        <v>0</v>
      </c>
      <c r="J23" s="56">
        <f>'Por año'!K181</f>
        <v>0</v>
      </c>
    </row>
    <row r="24" spans="1:10" ht="15.75" customHeight="1">
      <c r="A24" s="56">
        <f>'Por año'!A201</f>
        <v>0</v>
      </c>
      <c r="B24" s="56">
        <f>'Por año'!B201</f>
        <v>0</v>
      </c>
      <c r="C24" s="19">
        <f>'Por año'!C201</f>
        <v>0</v>
      </c>
      <c r="E24" s="56">
        <f>'Por año'!E201</f>
        <v>0</v>
      </c>
      <c r="F24" s="56">
        <f>'Por año'!F201</f>
        <v>0</v>
      </c>
      <c r="H24" s="20">
        <f>'Por año'!H201</f>
        <v>0</v>
      </c>
      <c r="I24" s="56">
        <f>'Por año'!I201</f>
        <v>0</v>
      </c>
      <c r="J24" s="56">
        <f>'Por año'!K182</f>
        <v>0</v>
      </c>
    </row>
    <row r="25" spans="1:10" ht="15.75" customHeight="1">
      <c r="A25" s="56">
        <f>'Por año'!A202</f>
        <v>0</v>
      </c>
      <c r="B25" s="56">
        <f>'Por año'!B202</f>
        <v>0</v>
      </c>
      <c r="C25" s="19">
        <f>'Por año'!C202</f>
        <v>0</v>
      </c>
      <c r="E25" s="56">
        <f>'Por año'!E202</f>
        <v>0</v>
      </c>
      <c r="F25" s="56">
        <f>'Por año'!F202</f>
        <v>0</v>
      </c>
      <c r="H25" s="20">
        <f>'Por año'!H202</f>
        <v>0</v>
      </c>
      <c r="I25" s="56">
        <f>'Por año'!I202</f>
        <v>0</v>
      </c>
      <c r="J25" s="56">
        <f>'Por año'!K183</f>
        <v>0</v>
      </c>
    </row>
    <row r="26" spans="1:10" ht="15.75" customHeight="1">
      <c r="A26" s="56">
        <f>'Por año'!A203</f>
        <v>0</v>
      </c>
      <c r="B26" s="56">
        <f>'Por año'!B203</f>
        <v>0</v>
      </c>
      <c r="C26" s="19">
        <f>'Por año'!C203</f>
        <v>0</v>
      </c>
      <c r="E26" s="56">
        <f>'Por año'!E203</f>
        <v>0</v>
      </c>
      <c r="F26" s="56">
        <f>'Por año'!F203</f>
        <v>0</v>
      </c>
      <c r="H26" s="20">
        <f>'Por año'!H203</f>
        <v>0</v>
      </c>
      <c r="I26" s="56">
        <f>'Por año'!I203</f>
        <v>0</v>
      </c>
      <c r="J26" s="56">
        <f>'Por año'!K184</f>
        <v>0</v>
      </c>
    </row>
    <row r="27" spans="1:10" ht="15.75" customHeight="1">
      <c r="A27" s="56">
        <f>'Por año'!A204</f>
        <v>0</v>
      </c>
      <c r="B27" s="56">
        <f>'Por año'!B204</f>
        <v>0</v>
      </c>
      <c r="C27" s="19">
        <f>'Por año'!C204</f>
        <v>0</v>
      </c>
      <c r="E27" s="56">
        <f>'Por año'!E204</f>
        <v>0</v>
      </c>
      <c r="F27" s="56">
        <f>'Por año'!F204</f>
        <v>0</v>
      </c>
      <c r="H27" s="20">
        <f>'Por año'!H204</f>
        <v>0</v>
      </c>
      <c r="I27" s="56">
        <f>'Por año'!I204</f>
        <v>0</v>
      </c>
      <c r="J27" s="56">
        <f>'Por año'!K185</f>
        <v>0</v>
      </c>
    </row>
    <row r="28" spans="1:10" ht="15.75" customHeight="1">
      <c r="A28" s="56">
        <f>'Por año'!A205</f>
        <v>0</v>
      </c>
      <c r="B28" s="56">
        <f>'Por año'!B205</f>
        <v>0</v>
      </c>
      <c r="C28" s="19">
        <f>'Por año'!C205</f>
        <v>0</v>
      </c>
      <c r="E28" s="56">
        <f>'Por año'!E205</f>
        <v>0</v>
      </c>
      <c r="F28" s="56">
        <f>'Por año'!F205</f>
        <v>0</v>
      </c>
      <c r="H28" s="20">
        <f>'Por año'!H205</f>
        <v>0</v>
      </c>
      <c r="I28" s="56">
        <f>'Por año'!I205</f>
        <v>0</v>
      </c>
      <c r="J28" s="56">
        <f>'Por año'!K186</f>
        <v>0</v>
      </c>
    </row>
    <row r="29" spans="1:10" ht="15.75" customHeight="1">
      <c r="A29" s="56">
        <f>'Por año'!A206</f>
        <v>0</v>
      </c>
      <c r="B29" s="56">
        <f>'Por año'!B206</f>
        <v>0</v>
      </c>
      <c r="C29" s="19">
        <f>'Por año'!C206</f>
        <v>0</v>
      </c>
      <c r="E29" s="56">
        <f>'Por año'!E206</f>
        <v>0</v>
      </c>
      <c r="F29" s="56">
        <f>'Por año'!F206</f>
        <v>0</v>
      </c>
      <c r="H29" s="20">
        <f>'Por año'!H206</f>
        <v>0</v>
      </c>
      <c r="I29" s="56">
        <f>'Por año'!I206</f>
        <v>0</v>
      </c>
      <c r="J29" s="56">
        <f>'Por año'!K187</f>
        <v>0</v>
      </c>
    </row>
    <row r="30" spans="1:10" ht="15.75" customHeight="1">
      <c r="A30" s="56">
        <f>'Por año'!A207</f>
        <v>0</v>
      </c>
      <c r="B30" s="56">
        <f>'Por año'!B207</f>
        <v>0</v>
      </c>
      <c r="C30" s="19">
        <f>'Por año'!C207</f>
        <v>0</v>
      </c>
      <c r="E30" s="56">
        <f>'Por año'!E207</f>
        <v>0</v>
      </c>
      <c r="F30" s="56">
        <f>'Por año'!F207</f>
        <v>0</v>
      </c>
      <c r="H30" s="20">
        <f>'Por año'!H207</f>
        <v>0</v>
      </c>
      <c r="I30" s="56">
        <f>'Por año'!I207</f>
        <v>0</v>
      </c>
      <c r="J30" s="56">
        <f>'Por año'!K188</f>
        <v>0</v>
      </c>
    </row>
    <row r="31" spans="1:10" ht="15.75" customHeight="1">
      <c r="A31" s="56">
        <f>'Por año'!A208</f>
        <v>0</v>
      </c>
      <c r="B31" s="56">
        <f>'Por año'!B208</f>
        <v>0</v>
      </c>
      <c r="C31" s="19">
        <f>'Por año'!C208</f>
        <v>0</v>
      </c>
      <c r="E31" s="56">
        <f>'Por año'!E208</f>
        <v>0</v>
      </c>
      <c r="F31" s="56">
        <f>'Por año'!F208</f>
        <v>0</v>
      </c>
      <c r="H31" s="20">
        <f>'Por año'!H208</f>
        <v>0</v>
      </c>
      <c r="I31" s="56">
        <f>'Por año'!I208</f>
        <v>0</v>
      </c>
      <c r="J31" s="56">
        <f>'Por año'!K189</f>
        <v>0</v>
      </c>
    </row>
    <row r="32" spans="1:10" ht="15.75" customHeight="1">
      <c r="A32" s="56">
        <f>'Por año'!A209</f>
        <v>0</v>
      </c>
      <c r="B32" s="56">
        <f>'Por año'!B209</f>
        <v>0</v>
      </c>
      <c r="C32" s="19">
        <f>'Por año'!C209</f>
        <v>0</v>
      </c>
      <c r="E32" s="56">
        <f>'Por año'!E209</f>
        <v>0</v>
      </c>
      <c r="F32" s="56">
        <f>'Por año'!F209</f>
        <v>0</v>
      </c>
      <c r="H32" s="20">
        <f>'Por año'!H209</f>
        <v>0</v>
      </c>
      <c r="I32" s="56">
        <f>'Por año'!I209</f>
        <v>0</v>
      </c>
      <c r="J32" s="56">
        <f>'Por año'!K190</f>
        <v>0</v>
      </c>
    </row>
    <row r="33" spans="1:10" ht="15.75" customHeight="1">
      <c r="A33" s="56">
        <f>'Por año'!A210</f>
        <v>0</v>
      </c>
      <c r="B33" s="56">
        <f>'Por año'!B210</f>
        <v>0</v>
      </c>
      <c r="C33" s="19">
        <f>'Por año'!C210</f>
        <v>0</v>
      </c>
      <c r="E33" s="56">
        <f>'Por año'!E210</f>
        <v>0</v>
      </c>
      <c r="F33" s="56">
        <f>'Por año'!F210</f>
        <v>0</v>
      </c>
      <c r="H33" s="20">
        <f>'Por año'!H210</f>
        <v>0</v>
      </c>
      <c r="I33" s="56">
        <f>'Por año'!I210</f>
        <v>0</v>
      </c>
      <c r="J33" s="56">
        <f>'Por año'!K191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Por año</vt:lpstr>
      <vt:lpstr>Otros Coles</vt:lpstr>
      <vt:lpstr>Titulan</vt:lpstr>
      <vt:lpstr>Fase General</vt:lpstr>
      <vt:lpstr>Lengua</vt:lpstr>
      <vt:lpstr>Inglés</vt:lpstr>
      <vt:lpstr>Historia</vt:lpstr>
      <vt:lpstr>Mate II</vt:lpstr>
      <vt:lpstr>Mate CCSS II</vt:lpstr>
      <vt:lpstr>Física</vt:lpstr>
      <vt:lpstr>Química</vt:lpstr>
      <vt:lpstr>Biología</vt:lpstr>
      <vt:lpstr>Dibujo Técnico</vt:lpstr>
      <vt:lpstr>Economía</vt:lpstr>
      <vt:lpstr>Filosofía</vt:lpstr>
      <vt:lpstr>Historia del Arte</vt:lpstr>
      <vt:lpstr>Geografía</vt:lpstr>
      <vt:lpstr>Francés</vt:lpstr>
      <vt:lpstr>Tecno e 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Parra  Santander</cp:lastModifiedBy>
  <dcterms:modified xsi:type="dcterms:W3CDTF">2026-06-14T11:46:03Z</dcterms:modified>
</cp:coreProperties>
</file>