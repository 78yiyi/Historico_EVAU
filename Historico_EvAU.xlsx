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7.xml"/>
  <Override ContentType="application/vnd.openxmlformats-officedocument.drawingml.chart+xml" PartName="/xl/charts/chart27.xml"/>
  <Override ContentType="application/vnd.openxmlformats-officedocument.drawingml.chart+xml" PartName="/xl/charts/chart52.xml"/>
  <Override ContentType="application/vnd.openxmlformats-officedocument.drawingml.chart+xml" PartName="/xl/charts/chart18.xml"/>
  <Override ContentType="application/vnd.openxmlformats-officedocument.drawingml.chart+xml" PartName="/xl/charts/chart43.xml"/>
  <Override ContentType="application/vnd.openxmlformats-officedocument.drawingml.chart+xml" PartName="/xl/charts/chart44.xml"/>
  <Override ContentType="application/vnd.openxmlformats-officedocument.drawingml.chart+xml" PartName="/xl/charts/chart26.xml"/>
  <Override ContentType="application/vnd.openxmlformats-officedocument.drawingml.chart+xml" PartName="/xl/charts/chart35.xml"/>
  <Override ContentType="application/vnd.openxmlformats-officedocument.drawingml.chart+xml" PartName="/xl/charts/chart61.xml"/>
  <Override ContentType="application/vnd.openxmlformats-officedocument.drawingml.chart+xml" PartName="/xl/charts/chart34.xml"/>
  <Override ContentType="application/vnd.openxmlformats-officedocument.drawingml.chart+xml" PartName="/xl/charts/chart8.xml"/>
  <Override ContentType="application/vnd.openxmlformats-officedocument.drawingml.chart+xml" PartName="/xl/charts/chart69.xml"/>
  <Override ContentType="application/vnd.openxmlformats-officedocument.drawingml.chart+xml" PartName="/xl/charts/chart17.xml"/>
  <Override ContentType="application/vnd.openxmlformats-officedocument.drawingml.chart+xml" PartName="/xl/charts/chart42.xml"/>
  <Override ContentType="application/vnd.openxmlformats-officedocument.drawingml.chart+xml" PartName="/xl/charts/chart25.xml"/>
  <Override ContentType="application/vnd.openxmlformats-officedocument.drawingml.chart+xml" PartName="/xl/charts/chart68.xml"/>
  <Override ContentType="application/vnd.openxmlformats-officedocument.drawingml.chart+xml" PartName="/xl/charts/chart51.xml"/>
  <Override ContentType="application/vnd.openxmlformats-officedocument.drawingml.chart+xml" PartName="/xl/charts/chart60.xml"/>
  <Override ContentType="application/vnd.openxmlformats-officedocument.drawingml.chart+xml" PartName="/xl/charts/chart16.xml"/>
  <Override ContentType="application/vnd.openxmlformats-officedocument.drawingml.chart+xml" PartName="/xl/charts/chart59.xml"/>
  <Override ContentType="application/vnd.openxmlformats-officedocument.drawingml.chart+xml" PartName="/xl/charts/chart46.xml"/>
  <Override ContentType="application/vnd.openxmlformats-officedocument.drawingml.chart+xml" PartName="/xl/charts/chart29.xml"/>
  <Override ContentType="application/vnd.openxmlformats-officedocument.drawingml.chart+xml" PartName="/xl/charts/chart50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33.xml"/>
  <Override ContentType="application/vnd.openxmlformats-officedocument.drawingml.chart+xml" PartName="/xl/charts/chart63.xml"/>
  <Override ContentType="application/vnd.openxmlformats-officedocument.drawingml.chart+xml" PartName="/xl/charts/chart28.xml"/>
  <Override ContentType="application/vnd.openxmlformats-officedocument.drawingml.chart+xml" PartName="/xl/charts/chart58.xml"/>
  <Override ContentType="application/vnd.openxmlformats-officedocument.drawingml.chart+xml" PartName="/xl/charts/chart6.xml"/>
  <Override ContentType="application/vnd.openxmlformats-officedocument.drawingml.chart+xml" PartName="/xl/charts/chart45.xml"/>
  <Override ContentType="application/vnd.openxmlformats-officedocument.drawingml.chart+xml" PartName="/xl/charts/chart15.xml"/>
  <Override ContentType="application/vnd.openxmlformats-officedocument.drawingml.chart+xml" PartName="/xl/charts/chart62.xml"/>
  <Override ContentType="application/vnd.openxmlformats-officedocument.drawingml.chart+xml" PartName="/xl/charts/chart32.xml"/>
  <Override ContentType="application/vnd.openxmlformats-officedocument.drawingml.chart+xml" PartName="/xl/charts/chart5.xml"/>
  <Override ContentType="application/vnd.openxmlformats-officedocument.drawingml.chart+xml" PartName="/xl/charts/chart65.xml"/>
  <Override ContentType="application/vnd.openxmlformats-officedocument.drawingml.chart+xml" PartName="/xl/charts/chart57.xml"/>
  <Override ContentType="application/vnd.openxmlformats-officedocument.drawingml.chart+xml" PartName="/xl/charts/chart14.xml"/>
  <Override ContentType="application/vnd.openxmlformats-officedocument.drawingml.chart+xml" PartName="/xl/charts/chart30.xml"/>
  <Override ContentType="application/vnd.openxmlformats-officedocument.drawingml.chart+xml" PartName="/xl/charts/chart13.xml"/>
  <Override ContentType="application/vnd.openxmlformats-officedocument.drawingml.chart+xml" PartName="/xl/charts/chart74.xml"/>
  <Override ContentType="application/vnd.openxmlformats-officedocument.drawingml.chart+xml" PartName="/xl/charts/chart31.xml"/>
  <Override ContentType="application/vnd.openxmlformats-officedocument.drawingml.chart+xml" PartName="/xl/charts/chart39.xml"/>
  <Override ContentType="application/vnd.openxmlformats-officedocument.drawingml.chart+xml" PartName="/xl/charts/chart48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47.xml"/>
  <Override ContentType="application/vnd.openxmlformats-officedocument.drawingml.chart+xml" PartName="/xl/charts/chart72.xml"/>
  <Override ContentType="application/vnd.openxmlformats-officedocument.drawingml.chart+xml" PartName="/xl/charts/chart55.xml"/>
  <Override ContentType="application/vnd.openxmlformats-officedocument.drawingml.chart+xml" PartName="/xl/charts/chart56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64.xml"/>
  <Override ContentType="application/vnd.openxmlformats-officedocument.drawingml.chart+xml" PartName="/xl/charts/chart73.xml"/>
  <Override ContentType="application/vnd.openxmlformats-officedocument.drawingml.chart+xml" PartName="/xl/charts/chart3.xml"/>
  <Override ContentType="application/vnd.openxmlformats-officedocument.drawingml.chart+xml" PartName="/xl/charts/chart38.xml"/>
  <Override ContentType="application/vnd.openxmlformats-officedocument.drawingml.chart+xml" PartName="/xl/charts/chart41.xml"/>
  <Override ContentType="application/vnd.openxmlformats-officedocument.drawingml.chart+xml" PartName="/xl/charts/chart11.xml"/>
  <Override ContentType="application/vnd.openxmlformats-officedocument.drawingml.chart+xml" PartName="/xl/charts/chart71.xml"/>
  <Override ContentType="application/vnd.openxmlformats-officedocument.drawingml.chart+xml" PartName="/xl/charts/chart54.xml"/>
  <Override ContentType="application/vnd.openxmlformats-officedocument.drawingml.chart+xml" PartName="/xl/charts/chart37.xml"/>
  <Override ContentType="application/vnd.openxmlformats-officedocument.drawingml.chart+xml" PartName="/xl/charts/chart67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53.xml"/>
  <Override ContentType="application/vnd.openxmlformats-officedocument.drawingml.chart+xml" PartName="/xl/charts/chart10.xml"/>
  <Override ContentType="application/vnd.openxmlformats-officedocument.drawingml.chart+xml" PartName="/xl/charts/chart66.xml"/>
  <Override ContentType="application/vnd.openxmlformats-officedocument.drawingml.chart+xml" PartName="/xl/charts/chart70.xml"/>
  <Override ContentType="application/vnd.openxmlformats-officedocument.drawingml.chart+xml" PartName="/xl/charts/chart40.xml"/>
  <Override ContentType="application/vnd.openxmlformats-officedocument.drawingml.chart+xml" PartName="/xl/charts/chart49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23.xml"/>
  <Override ContentType="application/vnd.openxmlformats-officedocument.drawingml.chart+xml" PartName="/xl/charts/chart36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 año" sheetId="1" r:id="rId5"/>
    <sheet state="visible" name="Otros Coles" sheetId="2" r:id="rId6"/>
    <sheet state="visible" name="Titulan" sheetId="3" r:id="rId7"/>
    <sheet state="visible" name="Fase General" sheetId="4" r:id="rId8"/>
    <sheet state="visible" name="Lengua" sheetId="5" r:id="rId9"/>
    <sheet state="visible" name="Inglés" sheetId="6" r:id="rId10"/>
    <sheet state="visible" name="Historia" sheetId="7" r:id="rId11"/>
    <sheet state="visible" name="Mate II" sheetId="8" r:id="rId12"/>
    <sheet state="visible" name="Mate CCSS II" sheetId="9" r:id="rId13"/>
    <sheet state="visible" name="Física" sheetId="10" r:id="rId14"/>
    <sheet state="visible" name="Química" sheetId="11" r:id="rId15"/>
    <sheet state="visible" name="Biología" sheetId="12" r:id="rId16"/>
    <sheet state="visible" name="Dibujo Técnico" sheetId="13" r:id="rId17"/>
    <sheet state="visible" name="Economía" sheetId="14" r:id="rId18"/>
    <sheet state="visible" name="Filosofía" sheetId="15" r:id="rId19"/>
    <sheet state="visible" name="Historia del Arte" sheetId="16" r:id="rId20"/>
    <sheet state="visible" name="Geografía" sheetId="17" r:id="rId21"/>
    <sheet state="visible" name="Francés" sheetId="18" r:id="rId22"/>
    <sheet state="visible" name="Tecno e Ing" sheetId="19" r:id="rId23"/>
  </sheets>
  <definedNames/>
  <calcPr/>
</workbook>
</file>

<file path=xl/sharedStrings.xml><?xml version="1.0" encoding="utf-8"?>
<sst xmlns="http://schemas.openxmlformats.org/spreadsheetml/2006/main" count="525" uniqueCount="68">
  <si>
    <t>2024-2025</t>
  </si>
  <si>
    <t>LSG</t>
  </si>
  <si>
    <t>UC3M</t>
  </si>
  <si>
    <t>Materia</t>
  </si>
  <si>
    <t>Presentados</t>
  </si>
  <si>
    <t>% LSG</t>
  </si>
  <si>
    <t>NM LSG EvAU</t>
  </si>
  <si>
    <t>NM LSG Cole</t>
  </si>
  <si>
    <t>% UC3M</t>
  </si>
  <si>
    <t>NM UC3M</t>
  </si>
  <si>
    <t>24-25</t>
  </si>
  <si>
    <t>Lengua</t>
  </si>
  <si>
    <t>Inglés</t>
  </si>
  <si>
    <t>Historia</t>
  </si>
  <si>
    <t>Mate</t>
  </si>
  <si>
    <t>Mate CCSS</t>
  </si>
  <si>
    <t>Física</t>
  </si>
  <si>
    <t>Química</t>
  </si>
  <si>
    <t>Biología</t>
  </si>
  <si>
    <t>Dibujo Técnico</t>
  </si>
  <si>
    <t>Economía</t>
  </si>
  <si>
    <t>H. Filosofía</t>
  </si>
  <si>
    <t>H. Arte</t>
  </si>
  <si>
    <t>Geografía</t>
  </si>
  <si>
    <t>Tecno e Ing</t>
  </si>
  <si>
    <t>Fase General</t>
  </si>
  <si>
    <t>Titulan</t>
  </si>
  <si>
    <t>2023-2024</t>
  </si>
  <si>
    <t>23-24</t>
  </si>
  <si>
    <t>Francés</t>
  </si>
  <si>
    <t>2022-2023</t>
  </si>
  <si>
    <t>22-23</t>
  </si>
  <si>
    <t>22-24</t>
  </si>
  <si>
    <t>2021-2022</t>
  </si>
  <si>
    <t>21-22</t>
  </si>
  <si>
    <t>2020-2021</t>
  </si>
  <si>
    <t>20-21</t>
  </si>
  <si>
    <t>2019-2020</t>
  </si>
  <si>
    <t>19-20</t>
  </si>
  <si>
    <t>2018-2019</t>
  </si>
  <si>
    <t>18-19</t>
  </si>
  <si>
    <t>2017-2018</t>
  </si>
  <si>
    <t>17-18</t>
  </si>
  <si>
    <t>2016-2017</t>
  </si>
  <si>
    <t>16-17</t>
  </si>
  <si>
    <t>13/14</t>
  </si>
  <si>
    <t>14/15</t>
  </si>
  <si>
    <t>15/16</t>
  </si>
  <si>
    <t>16/17</t>
  </si>
  <si>
    <t>17/18</t>
  </si>
  <si>
    <t>18/19</t>
  </si>
  <si>
    <t>19/20</t>
  </si>
  <si>
    <t>20/21</t>
  </si>
  <si>
    <t>21/22</t>
  </si>
  <si>
    <t>22/23</t>
  </si>
  <si>
    <t>23/24</t>
  </si>
  <si>
    <t>24/25</t>
  </si>
  <si>
    <t>% Titulados Bach</t>
  </si>
  <si>
    <t>%Aprobados EvAU</t>
  </si>
  <si>
    <t>Presentados EvAU</t>
  </si>
  <si>
    <t>Media EvAU Aprobados</t>
  </si>
  <si>
    <t>Media FG</t>
  </si>
  <si>
    <t>CAM</t>
  </si>
  <si>
    <t>Castilla</t>
  </si>
  <si>
    <t>IES Griñón</t>
  </si>
  <si>
    <t>Villa Griñón</t>
  </si>
  <si>
    <t>Catón</t>
  </si>
  <si>
    <t>IES Cubas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</si>
</sst>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0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  <scheme val="minor"/>
    </font>
    <font>
      <sz val="8.0"/>
      <color rgb="FF000000"/>
      <name val="Arial"/>
      <scheme val="minor"/>
    </font>
    <font/>
    <font>
      <color theme="1"/>
      <name val="Arial"/>
    </font>
    <font>
      <sz val="9.0"/>
      <color rgb="FF000000"/>
      <name val="&quot;Google Sans Mono&quot;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horizontal="center" readingOrder="0" textRotation="0"/>
    </xf>
    <xf borderId="0" fillId="0" fontId="1" numFmtId="0" xfId="0" applyAlignment="1" applyFont="1">
      <alignment horizontal="center" readingOrder="0" textRotation="0"/>
    </xf>
    <xf borderId="0" fillId="0" fontId="1" numFmtId="10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3" xfId="0" applyAlignment="1" applyFont="1" applyNumberFormat="1">
      <alignment readingOrder="0" textRotation="90"/>
    </xf>
    <xf borderId="0" fillId="0" fontId="2" numFmtId="0" xfId="0" applyAlignment="1" applyFont="1">
      <alignment readingOrder="0" textRotation="90"/>
    </xf>
    <xf borderId="0" fillId="0" fontId="2" numFmtId="10" xfId="0" applyAlignment="1" applyFont="1" applyNumberFormat="1">
      <alignment readingOrder="0" textRotation="90"/>
    </xf>
    <xf borderId="0" fillId="0" fontId="3" numFmtId="3" xfId="0" applyAlignment="1" applyFont="1" applyNumberFormat="1">
      <alignment readingOrder="0"/>
    </xf>
    <xf borderId="0" fillId="0" fontId="3" numFmtId="10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0" fillId="0" fontId="3" numFmtId="0" xfId="0" applyFont="1"/>
    <xf borderId="0" fillId="0" fontId="3" numFmtId="3" xfId="0" applyAlignment="1" applyFont="1" applyNumberFormat="1">
      <alignment horizontal="center" readingOrder="0" textRotation="0"/>
    </xf>
    <xf borderId="0" fillId="0" fontId="3" numFmtId="2" xfId="0" applyAlignment="1" applyFont="1" applyNumberFormat="1">
      <alignment horizontal="center" readingOrder="0" textRotation="0"/>
    </xf>
    <xf borderId="0" fillId="0" fontId="3" numFmtId="0" xfId="0" applyAlignment="1" applyFont="1">
      <alignment horizontal="center" readingOrder="0" textRotation="0"/>
    </xf>
    <xf borderId="0" fillId="0" fontId="1" numFmtId="0" xfId="0" applyAlignment="1" applyFont="1">
      <alignment horizontal="center" readingOrder="0"/>
    </xf>
    <xf borderId="0" fillId="0" fontId="3" numFmtId="10" xfId="0" applyFont="1" applyNumberFormat="1"/>
    <xf borderId="0" fillId="0" fontId="3" numFmtId="164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0" fillId="0" fontId="2" numFmtId="3" xfId="0" applyFont="1" applyNumberFormat="1"/>
    <xf borderId="0" fillId="0" fontId="2" numFmtId="10" xfId="0" applyFont="1" applyNumberFormat="1"/>
    <xf borderId="1" fillId="0" fontId="2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1" fillId="0" fontId="6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readingOrder="0" textRotation="90"/>
    </xf>
    <xf borderId="5" fillId="0" fontId="2" numFmtId="0" xfId="0" applyAlignment="1" applyBorder="1" applyFont="1">
      <alignment readingOrder="0" textRotation="90"/>
    </xf>
    <xf borderId="4" fillId="0" fontId="6" numFmtId="0" xfId="0" applyAlignment="1" applyBorder="1" applyFont="1">
      <alignment textRotation="90" vertical="bottom"/>
    </xf>
    <xf borderId="0" fillId="0" fontId="6" numFmtId="0" xfId="0" applyAlignment="1" applyFont="1">
      <alignment textRotation="90" vertical="bottom"/>
    </xf>
    <xf borderId="5" fillId="0" fontId="6" numFmtId="0" xfId="0" applyAlignment="1" applyBorder="1" applyFont="1">
      <alignment textRotation="90" vertical="bottom"/>
    </xf>
    <xf borderId="4" fillId="0" fontId="2" numFmtId="0" xfId="0" applyAlignment="1" applyBorder="1" applyFont="1">
      <alignment horizontal="center" readingOrder="0" textRotation="90"/>
    </xf>
    <xf borderId="0" fillId="0" fontId="2" numFmtId="0" xfId="0" applyAlignment="1" applyFont="1">
      <alignment horizontal="center" readingOrder="0" textRotation="90"/>
    </xf>
    <xf borderId="4" fillId="0" fontId="6" numFmtId="0" xfId="0" applyAlignment="1" applyBorder="1" applyFont="1">
      <alignment readingOrder="0" textRotation="90" vertical="bottom"/>
    </xf>
    <xf borderId="4" fillId="0" fontId="2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4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0" fontId="6" numFmtId="0" xfId="0" applyAlignment="1" applyFont="1">
      <alignment vertical="bottom"/>
    </xf>
    <xf borderId="5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readingOrder="0" vertical="bottom"/>
    </xf>
    <xf borderId="4" fillId="0" fontId="6" numFmtId="0" xfId="0" applyAlignment="1" applyBorder="1" applyFont="1">
      <alignment vertical="bottom"/>
    </xf>
    <xf borderId="0" fillId="0" fontId="6" numFmtId="0" xfId="0" applyAlignment="1" applyFont="1">
      <alignment horizontal="right" vertical="bottom"/>
    </xf>
    <xf borderId="5" fillId="0" fontId="6" numFmtId="0" xfId="0" applyAlignment="1" applyBorder="1" applyFont="1">
      <alignment horizontal="right" vertical="bottom"/>
    </xf>
    <xf borderId="4" fillId="0" fontId="2" numFmtId="0" xfId="0" applyBorder="1" applyFont="1"/>
    <xf borderId="4" fillId="0" fontId="6" numFmtId="0" xfId="0" applyAlignment="1" applyBorder="1" applyFont="1">
      <alignment readingOrder="0" vertical="bottom"/>
    </xf>
    <xf borderId="4" fillId="2" fontId="2" numFmtId="0" xfId="0" applyBorder="1" applyFill="1" applyFont="1"/>
    <xf borderId="0" fillId="2" fontId="2" numFmtId="0" xfId="0" applyFont="1"/>
    <xf borderId="6" fillId="2" fontId="2" numFmtId="0" xfId="0" applyBorder="1" applyFont="1"/>
    <xf borderId="7" fillId="2" fontId="2" numFmtId="0" xfId="0" applyBorder="1" applyFont="1"/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readingOrder="0"/>
    </xf>
    <xf borderId="8" fillId="0" fontId="2" numFmtId="0" xfId="0" applyAlignment="1" applyBorder="1" applyFont="1">
      <alignment readingOrder="0"/>
    </xf>
    <xf borderId="6" fillId="0" fontId="6" numFmtId="0" xfId="0" applyAlignment="1" applyBorder="1" applyFont="1">
      <alignment horizontal="right" readingOrder="0" vertical="bottom"/>
    </xf>
    <xf borderId="7" fillId="0" fontId="6" numFmtId="0" xfId="0" applyAlignment="1" applyBorder="1" applyFont="1">
      <alignment horizontal="right" readingOrder="0" vertical="bottom"/>
    </xf>
    <xf borderId="8" fillId="0" fontId="6" numFmtId="0" xfId="0" applyAlignment="1" applyBorder="1" applyFont="1">
      <alignment horizontal="right" readingOrder="0" vertical="bottom"/>
    </xf>
    <xf borderId="6" fillId="0" fontId="6" numFmtId="0" xfId="0" applyAlignment="1" applyBorder="1" applyFont="1">
      <alignment readingOrder="0" vertical="bottom"/>
    </xf>
    <xf borderId="7" fillId="0" fontId="6" numFmtId="0" xfId="0" applyAlignment="1" applyBorder="1" applyFont="1">
      <alignment readingOrder="0" vertical="bottom"/>
    </xf>
    <xf borderId="6" fillId="0" fontId="6" numFmtId="0" xfId="0" applyAlignment="1" applyBorder="1" applyFont="1">
      <alignment vertical="bottom"/>
    </xf>
    <xf borderId="7" fillId="0" fontId="6" numFmtId="0" xfId="0" applyAlignment="1" applyBorder="1" applyFont="1">
      <alignment horizontal="right" vertical="bottom"/>
    </xf>
    <xf borderId="8" fillId="0" fontId="6" numFmtId="0" xfId="0" applyAlignment="1" applyBorder="1" applyFont="1">
      <alignment horizontal="right" vertical="bottom"/>
    </xf>
    <xf borderId="0" fillId="0" fontId="2" numFmtId="0" xfId="0" applyFont="1"/>
    <xf borderId="0" fillId="0" fontId="2" numFmtId="3" xfId="0" applyAlignment="1" applyFont="1" applyNumberFormat="1">
      <alignment textRotation="90"/>
    </xf>
    <xf borderId="0" fillId="0" fontId="2" numFmtId="0" xfId="0" applyAlignment="1" applyFont="1">
      <alignment textRotation="90"/>
    </xf>
    <xf borderId="0" fillId="0" fontId="2" numFmtId="10" xfId="0" applyAlignment="1" applyFont="1" applyNumberFormat="1">
      <alignment textRotation="90"/>
    </xf>
    <xf borderId="0" fillId="3" fontId="7" numFmtId="10" xfId="0" applyFill="1" applyFont="1" applyNumberFormat="1"/>
    <xf borderId="0" fillId="0" fontId="2" numFmtId="2" xfId="0" applyFont="1" applyNumberFormat="1"/>
    <xf borderId="0" fillId="0" fontId="2" numFmtId="164" xfId="0" applyFont="1" applyNumberFormat="1"/>
    <xf borderId="0" fillId="0" fontId="6" numFmtId="0" xfId="0" applyAlignment="1" applyFont="1">
      <alignment vertical="bottom"/>
    </xf>
    <xf borderId="0" fillId="0" fontId="6" numFmtId="3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19-20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año'!$F$98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año'!$D$99:$D$113</c:f>
            </c:strRef>
          </c:cat>
          <c:val>
            <c:numRef>
              <c:f>'Por año'!$F$99:$F$113</c:f>
              <c:numCache/>
            </c:numRef>
          </c:val>
        </c:ser>
        <c:ser>
          <c:idx val="1"/>
          <c:order val="1"/>
          <c:tx>
            <c:strRef>
              <c:f>'Por año'!$I$98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año'!$D$99:$D$113</c:f>
            </c:strRef>
          </c:cat>
          <c:val>
            <c:numRef>
              <c:f>'Por año'!$I$99:$I$113</c:f>
              <c:numCache/>
            </c:numRef>
          </c:val>
        </c:ser>
        <c:axId val="1084798477"/>
        <c:axId val="978197926"/>
      </c:areaChart>
      <c:catAx>
        <c:axId val="1084798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8197926"/>
      </c:catAx>
      <c:valAx>
        <c:axId val="978197926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4798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18-19</a:t>
            </a:r>
          </a:p>
        </c:rich>
      </c:tx>
      <c:layout>
        <c:manualLayout>
          <c:xMode val="edge"/>
          <c:yMode val="edge"/>
          <c:x val="0.035987261146496814"/>
          <c:y val="0.049999999999999996"/>
        </c:manualLayout>
      </c:layout>
      <c:overlay val="0"/>
    </c:title>
    <c:plotArea>
      <c:layout/>
      <c:areaChart>
        <c:ser>
          <c:idx val="0"/>
          <c:order val="0"/>
          <c:tx>
            <c:strRef>
              <c:f>'Por año'!$F$117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año'!$D$118:$D$132</c:f>
            </c:strRef>
          </c:cat>
          <c:val>
            <c:numRef>
              <c:f>'Por año'!$F$118:$F$132</c:f>
              <c:numCache/>
            </c:numRef>
          </c:val>
        </c:ser>
        <c:ser>
          <c:idx val="1"/>
          <c:order val="1"/>
          <c:tx>
            <c:strRef>
              <c:f>'Por año'!$I$117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año'!$D$118:$D$132</c:f>
            </c:strRef>
          </c:cat>
          <c:val>
            <c:numRef>
              <c:f>'Por año'!$I$118:$I$132</c:f>
              <c:numCache/>
            </c:numRef>
          </c:val>
        </c:ser>
        <c:axId val="1200217315"/>
        <c:axId val="486654419"/>
      </c:areaChart>
      <c:catAx>
        <c:axId val="12002173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6654419"/>
      </c:catAx>
      <c:valAx>
        <c:axId val="486654419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02173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17-18</a:t>
            </a:r>
          </a:p>
        </c:rich>
      </c:tx>
      <c:layout>
        <c:manualLayout>
          <c:xMode val="edge"/>
          <c:yMode val="edge"/>
          <c:x val="0.035987261146496814"/>
          <c:y val="0.049999999999999996"/>
        </c:manualLayout>
      </c:layout>
      <c:overlay val="0"/>
    </c:title>
    <c:plotArea>
      <c:layout/>
      <c:areaChart>
        <c:ser>
          <c:idx val="0"/>
          <c:order val="0"/>
          <c:tx>
            <c:strRef>
              <c:f>'Por año'!$F$136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año'!$D$137:$D$151</c:f>
            </c:strRef>
          </c:cat>
          <c:val>
            <c:numRef>
              <c:f>'Por año'!$F$137:$F$151</c:f>
              <c:numCache/>
            </c:numRef>
          </c:val>
        </c:ser>
        <c:ser>
          <c:idx val="1"/>
          <c:order val="1"/>
          <c:tx>
            <c:strRef>
              <c:f>'Por año'!$I$136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año'!$D$137:$D$151</c:f>
            </c:strRef>
          </c:cat>
          <c:val>
            <c:numRef>
              <c:f>'Por año'!$I$137:$I$151</c:f>
              <c:numCache/>
            </c:numRef>
          </c:val>
        </c:ser>
        <c:axId val="701973012"/>
        <c:axId val="450316204"/>
      </c:areaChart>
      <c:catAx>
        <c:axId val="7019730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0316204"/>
      </c:catAx>
      <c:valAx>
        <c:axId val="450316204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19730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16-17</a:t>
            </a:r>
          </a:p>
        </c:rich>
      </c:tx>
      <c:layout>
        <c:manualLayout>
          <c:xMode val="edge"/>
          <c:yMode val="edge"/>
          <c:x val="0.035987261146496814"/>
          <c:y val="0.049999999999999996"/>
        </c:manualLayout>
      </c:layout>
      <c:overlay val="0"/>
    </c:title>
    <c:plotArea>
      <c:layout/>
      <c:areaChart>
        <c:ser>
          <c:idx val="0"/>
          <c:order val="0"/>
          <c:tx>
            <c:strRef>
              <c:f>'Por año'!$F$155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año'!$D$156:$D$170</c:f>
            </c:strRef>
          </c:cat>
          <c:val>
            <c:numRef>
              <c:f>'Por año'!$F$156:$F$170</c:f>
              <c:numCache/>
            </c:numRef>
          </c:val>
        </c:ser>
        <c:ser>
          <c:idx val="1"/>
          <c:order val="1"/>
          <c:tx>
            <c:strRef>
              <c:f>'Por año'!$I$155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año'!$D$156:$D$170</c:f>
            </c:strRef>
          </c:cat>
          <c:val>
            <c:numRef>
              <c:f>'Por año'!$I$156:$I$170</c:f>
              <c:numCache/>
            </c:numRef>
          </c:val>
        </c:ser>
        <c:axId val="1133521573"/>
        <c:axId val="2110676923"/>
      </c:areaChart>
      <c:catAx>
        <c:axId val="11335215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0676923"/>
      </c:catAx>
      <c:valAx>
        <c:axId val="2110676923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35215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19-20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año'!$F$98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año'!$D$99:$D$113</c:f>
            </c:strRef>
          </c:cat>
          <c:val>
            <c:numRef>
              <c:f>'Por año'!$F$99:$F$113</c:f>
              <c:numCache/>
            </c:numRef>
          </c:val>
        </c:ser>
        <c:ser>
          <c:idx val="1"/>
          <c:order val="1"/>
          <c:tx>
            <c:strRef>
              <c:f>'Por año'!$G$98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año'!$D$99:$D$113</c:f>
            </c:strRef>
          </c:cat>
          <c:val>
            <c:numRef>
              <c:f>'Por año'!$G$99:$G$113</c:f>
              <c:numCache/>
            </c:numRef>
          </c:val>
        </c:ser>
        <c:axId val="650358200"/>
        <c:axId val="590612294"/>
      </c:areaChart>
      <c:catAx>
        <c:axId val="650358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0612294"/>
      </c:catAx>
      <c:valAx>
        <c:axId val="590612294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03582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18-19</a:t>
            </a:r>
          </a:p>
        </c:rich>
      </c:tx>
      <c:layout>
        <c:manualLayout>
          <c:xMode val="edge"/>
          <c:yMode val="edge"/>
          <c:x val="0.035987261146496814"/>
          <c:y val="0.049999999999999996"/>
        </c:manualLayout>
      </c:layout>
      <c:overlay val="0"/>
    </c:title>
    <c:plotArea>
      <c:layout/>
      <c:areaChart>
        <c:ser>
          <c:idx val="0"/>
          <c:order val="0"/>
          <c:tx>
            <c:strRef>
              <c:f>'Por año'!$F$117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año'!$D$118:$D$132</c:f>
            </c:strRef>
          </c:cat>
          <c:val>
            <c:numRef>
              <c:f>'Por año'!$F$118:$F$132</c:f>
              <c:numCache/>
            </c:numRef>
          </c:val>
        </c:ser>
        <c:ser>
          <c:idx val="1"/>
          <c:order val="1"/>
          <c:tx>
            <c:strRef>
              <c:f>'Por año'!$G$117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año'!$D$118:$D$132</c:f>
            </c:strRef>
          </c:cat>
          <c:val>
            <c:numRef>
              <c:f>'Por año'!$G$118:$G$132</c:f>
              <c:numCache/>
            </c:numRef>
          </c:val>
        </c:ser>
        <c:axId val="980323488"/>
        <c:axId val="1709171293"/>
      </c:areaChart>
      <c:catAx>
        <c:axId val="98032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9171293"/>
      </c:catAx>
      <c:valAx>
        <c:axId val="1709171293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03234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17-18</a:t>
            </a:r>
          </a:p>
        </c:rich>
      </c:tx>
      <c:layout>
        <c:manualLayout>
          <c:xMode val="edge"/>
          <c:yMode val="edge"/>
          <c:x val="0.035987261146496814"/>
          <c:y val="0.049999999999999996"/>
        </c:manualLayout>
      </c:layout>
      <c:overlay val="0"/>
    </c:title>
    <c:plotArea>
      <c:layout/>
      <c:areaChart>
        <c:ser>
          <c:idx val="0"/>
          <c:order val="0"/>
          <c:tx>
            <c:strRef>
              <c:f>'Por año'!$F$136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año'!$D$137:$D$151</c:f>
            </c:strRef>
          </c:cat>
          <c:val>
            <c:numRef>
              <c:f>'Por año'!$F$137:$F$151</c:f>
              <c:numCache/>
            </c:numRef>
          </c:val>
        </c:ser>
        <c:ser>
          <c:idx val="1"/>
          <c:order val="1"/>
          <c:tx>
            <c:strRef>
              <c:f>'Por año'!$G$136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año'!$D$137:$D$151</c:f>
            </c:strRef>
          </c:cat>
          <c:val>
            <c:numRef>
              <c:f>'Por año'!$G$137:$G$151</c:f>
              <c:numCache/>
            </c:numRef>
          </c:val>
        </c:ser>
        <c:axId val="1733436459"/>
        <c:axId val="1349267090"/>
      </c:areaChart>
      <c:catAx>
        <c:axId val="17334364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9267090"/>
      </c:catAx>
      <c:valAx>
        <c:axId val="1349267090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34364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16-17</a:t>
            </a:r>
          </a:p>
        </c:rich>
      </c:tx>
      <c:layout>
        <c:manualLayout>
          <c:xMode val="edge"/>
          <c:yMode val="edge"/>
          <c:x val="0.035987261146496814"/>
          <c:y val="0.049999999999999996"/>
        </c:manualLayout>
      </c:layout>
      <c:overlay val="0"/>
    </c:title>
    <c:plotArea>
      <c:layout/>
      <c:areaChart>
        <c:ser>
          <c:idx val="0"/>
          <c:order val="0"/>
          <c:tx>
            <c:strRef>
              <c:f>'Por año'!$F$155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año'!$D$156:$D$170</c:f>
            </c:strRef>
          </c:cat>
          <c:val>
            <c:numRef>
              <c:f>'Por año'!$F$156:$F$170</c:f>
              <c:numCache/>
            </c:numRef>
          </c:val>
        </c:ser>
        <c:ser>
          <c:idx val="1"/>
          <c:order val="1"/>
          <c:tx>
            <c:strRef>
              <c:f>'Por año'!$G$155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año'!$D$156:$D$170</c:f>
            </c:strRef>
          </c:cat>
          <c:val>
            <c:numRef>
              <c:f>'Por año'!$G$156:$G$170</c:f>
              <c:numCache/>
            </c:numRef>
          </c:val>
        </c:ser>
        <c:axId val="1547214650"/>
        <c:axId val="556816898"/>
      </c:areaChart>
      <c:catAx>
        <c:axId val="15472146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6816898"/>
      </c:catAx>
      <c:valAx>
        <c:axId val="556816898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2146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20-21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año'!$F$79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año'!$D$80:$D$94</c:f>
            </c:strRef>
          </c:cat>
          <c:val>
            <c:numRef>
              <c:f>'Por año'!$F$80:$F$94</c:f>
              <c:numCache/>
            </c:numRef>
          </c:val>
        </c:ser>
        <c:ser>
          <c:idx val="1"/>
          <c:order val="1"/>
          <c:tx>
            <c:strRef>
              <c:f>'Por año'!$I$79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año'!$D$80:$D$94</c:f>
            </c:strRef>
          </c:cat>
          <c:val>
            <c:numRef>
              <c:f>'Por año'!$I$80:$I$94</c:f>
              <c:numCache/>
            </c:numRef>
          </c:val>
        </c:ser>
        <c:axId val="491700592"/>
        <c:axId val="1723605262"/>
      </c:areaChart>
      <c:catAx>
        <c:axId val="491700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3605262"/>
      </c:catAx>
      <c:valAx>
        <c:axId val="1723605262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17005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20-21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año'!$F$79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año'!$D$80:$D$94</c:f>
            </c:strRef>
          </c:cat>
          <c:val>
            <c:numRef>
              <c:f>'Por año'!$F$80:$F$94</c:f>
              <c:numCache/>
            </c:numRef>
          </c:val>
        </c:ser>
        <c:ser>
          <c:idx val="1"/>
          <c:order val="1"/>
          <c:tx>
            <c:strRef>
              <c:f>'Por año'!$G$79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año'!$D$80:$D$94</c:f>
            </c:strRef>
          </c:cat>
          <c:val>
            <c:numRef>
              <c:f>'Por año'!$G$80:$G$94</c:f>
              <c:numCache/>
            </c:numRef>
          </c:val>
        </c:ser>
        <c:axId val="1029125654"/>
        <c:axId val="1801708458"/>
      </c:areaChart>
      <c:catAx>
        <c:axId val="10291256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1708458"/>
      </c:catAx>
      <c:valAx>
        <c:axId val="1801708458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91256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21-22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año'!$F$60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año'!$D$61:$D$75</c:f>
            </c:strRef>
          </c:cat>
          <c:val>
            <c:numRef>
              <c:f>'Por año'!$F$61:$F$75</c:f>
              <c:numCache/>
            </c:numRef>
          </c:val>
        </c:ser>
        <c:ser>
          <c:idx val="1"/>
          <c:order val="1"/>
          <c:tx>
            <c:strRef>
              <c:f>'Por año'!$I$60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año'!$D$61:$D$75</c:f>
            </c:strRef>
          </c:cat>
          <c:val>
            <c:numRef>
              <c:f>'Por año'!$I$61:$I$75</c:f>
              <c:numCache/>
            </c:numRef>
          </c:val>
        </c:ser>
        <c:axId val="753892955"/>
        <c:axId val="1804243660"/>
      </c:areaChart>
      <c:catAx>
        <c:axId val="753892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4243660"/>
      </c:catAx>
      <c:valAx>
        <c:axId val="1804243660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38929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21-22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año'!$F$60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año'!$D$61:$D$75</c:f>
            </c:strRef>
          </c:cat>
          <c:val>
            <c:numRef>
              <c:f>'Por año'!$F$61:$F$75</c:f>
              <c:numCache/>
            </c:numRef>
          </c:val>
        </c:ser>
        <c:ser>
          <c:idx val="1"/>
          <c:order val="1"/>
          <c:tx>
            <c:strRef>
              <c:f>'Por año'!$G$60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año'!$D$61:$D$75</c:f>
            </c:strRef>
          </c:cat>
          <c:val>
            <c:numRef>
              <c:f>'Por año'!$G$61:$G$75</c:f>
              <c:numCache/>
            </c:numRef>
          </c:val>
        </c:ser>
        <c:axId val="2080436796"/>
        <c:axId val="556547130"/>
      </c:areaChart>
      <c:catAx>
        <c:axId val="20804367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6547130"/>
      </c:catAx>
      <c:valAx>
        <c:axId val="556547130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04367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16-17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año'!$E$155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año'!$D$156:$D$170</c:f>
            </c:strRef>
          </c:cat>
          <c:val>
            <c:numRef>
              <c:f>'Por año'!$E$156:$E$170</c:f>
              <c:numCache/>
            </c:numRef>
          </c:val>
        </c:ser>
        <c:ser>
          <c:idx val="1"/>
          <c:order val="1"/>
          <c:tx>
            <c:strRef>
              <c:f>'Por año'!$H$155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año'!$D$156:$D$170</c:f>
            </c:strRef>
          </c:cat>
          <c:val>
            <c:numRef>
              <c:f>'Por año'!$H$156:$H$170</c:f>
              <c:numCache/>
            </c:numRef>
          </c:val>
        </c:ser>
        <c:axId val="1684571089"/>
        <c:axId val="1026732104"/>
      </c:areaChart>
      <c:catAx>
        <c:axId val="16845710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6732104"/>
      </c:catAx>
      <c:valAx>
        <c:axId val="1026732104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45710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17-18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año'!$E$136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año'!$D$137:$D$151</c:f>
            </c:strRef>
          </c:cat>
          <c:val>
            <c:numRef>
              <c:f>'Por año'!$E$137:$E$151</c:f>
              <c:numCache/>
            </c:numRef>
          </c:val>
        </c:ser>
        <c:ser>
          <c:idx val="1"/>
          <c:order val="1"/>
          <c:tx>
            <c:strRef>
              <c:f>'Por año'!$H$136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año'!$D$137:$D$151</c:f>
            </c:strRef>
          </c:cat>
          <c:val>
            <c:numRef>
              <c:f>'Por año'!$H$137:$H$151</c:f>
              <c:numCache/>
            </c:numRef>
          </c:val>
        </c:ser>
        <c:axId val="1551573989"/>
        <c:axId val="1224361133"/>
      </c:areaChart>
      <c:catAx>
        <c:axId val="15515739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4361133"/>
      </c:catAx>
      <c:valAx>
        <c:axId val="1224361133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15739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18-19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año'!$E$117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año'!$D$118:$D$132</c:f>
            </c:strRef>
          </c:cat>
          <c:val>
            <c:numRef>
              <c:f>'Por año'!$E$118:$E$132</c:f>
              <c:numCache/>
            </c:numRef>
          </c:val>
        </c:ser>
        <c:ser>
          <c:idx val="1"/>
          <c:order val="1"/>
          <c:tx>
            <c:strRef>
              <c:f>'Por año'!$H$117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año'!$D$118:$D$132</c:f>
            </c:strRef>
          </c:cat>
          <c:val>
            <c:numRef>
              <c:f>'Por año'!$H$118:$H$132</c:f>
              <c:numCache/>
            </c:numRef>
          </c:val>
        </c:ser>
        <c:axId val="36869263"/>
        <c:axId val="345302376"/>
      </c:areaChart>
      <c:catAx>
        <c:axId val="36869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5302376"/>
      </c:catAx>
      <c:valAx>
        <c:axId val="345302376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8692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19-20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año'!$E$98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año'!$D$99:$D$113</c:f>
            </c:strRef>
          </c:cat>
          <c:val>
            <c:numRef>
              <c:f>'Por año'!$E$99:$E$113</c:f>
              <c:numCache/>
            </c:numRef>
          </c:val>
        </c:ser>
        <c:ser>
          <c:idx val="1"/>
          <c:order val="1"/>
          <c:tx>
            <c:strRef>
              <c:f>'Por año'!$H$98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año'!$D$99:$D$113</c:f>
            </c:strRef>
          </c:cat>
          <c:val>
            <c:numRef>
              <c:f>'Por año'!$H$99:$H$113</c:f>
              <c:numCache/>
            </c:numRef>
          </c:val>
        </c:ser>
        <c:axId val="930354178"/>
        <c:axId val="2099703950"/>
      </c:areaChart>
      <c:catAx>
        <c:axId val="9303541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9703950"/>
      </c:catAx>
      <c:valAx>
        <c:axId val="2099703950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03541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20-21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año'!$E$79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año'!$D$80:$D$94</c:f>
            </c:strRef>
          </c:cat>
          <c:val>
            <c:numRef>
              <c:f>'Por año'!$E$80:$E$94</c:f>
              <c:numCache/>
            </c:numRef>
          </c:val>
        </c:ser>
        <c:ser>
          <c:idx val="1"/>
          <c:order val="1"/>
          <c:tx>
            <c:strRef>
              <c:f>'Por año'!$H$79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año'!$D$80:$D$94</c:f>
            </c:strRef>
          </c:cat>
          <c:val>
            <c:numRef>
              <c:f>'Por año'!$H$80:$H$94</c:f>
              <c:numCache/>
            </c:numRef>
          </c:val>
        </c:ser>
        <c:axId val="1354337794"/>
        <c:axId val="36013257"/>
      </c:areaChart>
      <c:catAx>
        <c:axId val="13543377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013257"/>
      </c:catAx>
      <c:valAx>
        <c:axId val="36013257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43377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22-23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año'!$F$41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año'!$D$42:$D$56</c:f>
            </c:strRef>
          </c:cat>
          <c:val>
            <c:numRef>
              <c:f>'Por año'!$F$42:$F$56</c:f>
              <c:numCache/>
            </c:numRef>
          </c:val>
        </c:ser>
        <c:ser>
          <c:idx val="1"/>
          <c:order val="1"/>
          <c:tx>
            <c:strRef>
              <c:f>'Por año'!$G$41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año'!$D$42:$D$56</c:f>
            </c:strRef>
          </c:cat>
          <c:val>
            <c:numRef>
              <c:f>'Por año'!$G$42:$G$56</c:f>
              <c:numCache/>
            </c:numRef>
          </c:val>
        </c:ser>
        <c:axId val="1393437414"/>
        <c:axId val="1931555710"/>
      </c:areaChart>
      <c:catAx>
        <c:axId val="1393437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1555710"/>
      </c:catAx>
      <c:valAx>
        <c:axId val="1931555710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34374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23-24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año'!$F$22</c:f>
            </c:strRef>
          </c:tx>
          <c:spPr>
            <a:solidFill>
              <a:schemeClr val="accent1">
                <a:alpha val="30000"/>
              </a:schemeClr>
            </a:solidFill>
            <a:ln cmpd="sng">
              <a:solidFill>
                <a:schemeClr val="accent1"/>
              </a:solidFill>
            </a:ln>
          </c:spPr>
          <c:cat>
            <c:strRef>
              <c:f>'Por año'!$D$23:$D$37</c:f>
            </c:strRef>
          </c:cat>
          <c:val>
            <c:numRef>
              <c:f>'Por año'!$F$23:$F$37</c:f>
              <c:numCache/>
            </c:numRef>
          </c:val>
        </c:ser>
        <c:ser>
          <c:idx val="1"/>
          <c:order val="1"/>
          <c:tx>
            <c:strRef>
              <c:f>'Por año'!$G$22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año'!$D$23:$D$37</c:f>
            </c:strRef>
          </c:cat>
          <c:val>
            <c:numRef>
              <c:f>'Por año'!$G$23:$G$37</c:f>
              <c:numCache/>
            </c:numRef>
          </c:val>
        </c:ser>
        <c:axId val="2103148531"/>
        <c:axId val="1700494929"/>
      </c:areaChart>
      <c:catAx>
        <c:axId val="21031485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0494929"/>
      </c:catAx>
      <c:valAx>
        <c:axId val="1700494929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148531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24-25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'Por año'!$F$3</c:f>
            </c:strRef>
          </c:tx>
          <c:spPr>
            <a:solidFill>
              <a:schemeClr val="accent1">
                <a:alpha val="30000"/>
              </a:schemeClr>
            </a:solidFill>
            <a:ln cmpd="sng">
              <a:solidFill>
                <a:schemeClr val="accent1"/>
              </a:solidFill>
            </a:ln>
          </c:spPr>
          <c:cat>
            <c:strRef>
              <c:f>'Por año'!$D$4:$D$18</c:f>
            </c:strRef>
          </c:cat>
          <c:val>
            <c:numRef>
              <c:f>'Por año'!$F$4:$F$18</c:f>
              <c:numCache/>
            </c:numRef>
          </c:val>
        </c:ser>
        <c:ser>
          <c:idx val="1"/>
          <c:order val="1"/>
          <c:tx>
            <c:strRef>
              <c:f>'Por año'!$G$3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año'!$D$4:$D$18</c:f>
            </c:strRef>
          </c:cat>
          <c:val>
            <c:numRef>
              <c:f>'Por año'!$G$4:$G$18</c:f>
              <c:numCache/>
            </c:numRef>
          </c:val>
        </c:ser>
        <c:axId val="1405839124"/>
        <c:axId val="1366292342"/>
      </c:areaChart>
      <c:catAx>
        <c:axId val="1405839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6292342"/>
      </c:catAx>
      <c:valAx>
        <c:axId val="1366292342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5839124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Titulados Bach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'Otros Coles'!$A$5</c:f>
            </c:strRef>
          </c:tx>
          <c:spPr>
            <a:solidFill>
              <a:srgbClr val="FF0000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('Otros Coles'!$B$5,'Otros Coles'!$G$5,'Otros Coles'!$L$5,'Otros Coles'!$Q$5,'Otros Coles'!$V$5)</c:f>
            </c:strRef>
          </c:cat>
          <c:val>
            <c:numRef>
              <c:f>('Otros Coles'!$B$5,'Otros Coles'!$G$5,'Otros Coles'!$L$5,'Otros Coles'!$Q$5,'Otros Coles'!$V$5)</c:f>
              <c:numCache/>
            </c:numRef>
          </c:val>
        </c:ser>
        <c:axId val="2018362637"/>
        <c:axId val="1665528415"/>
      </c:barChart>
      <c:catAx>
        <c:axId val="2018362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5528415"/>
      </c:catAx>
      <c:valAx>
        <c:axId val="16655284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83626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EvAU</a:t>
            </a:r>
          </a:p>
        </c:rich>
      </c:tx>
      <c:overlay val="0"/>
    </c:title>
    <c:plotArea>
      <c:layout/>
      <c:barChart>
        <c:barDir val="col"/>
        <c:axId val="688701304"/>
        <c:axId val="727847988"/>
      </c:barChart>
      <c:catAx>
        <c:axId val="688701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7847988"/>
      </c:catAx>
      <c:valAx>
        <c:axId val="7278479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87013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Alumnos Presentados</a:t>
            </a:r>
          </a:p>
        </c:rich>
      </c:tx>
      <c:overlay val="0"/>
    </c:title>
    <c:plotArea>
      <c:layout/>
      <c:barChart>
        <c:barDir val="col"/>
        <c:axId val="1924727052"/>
        <c:axId val="2117474981"/>
      </c:barChart>
      <c:catAx>
        <c:axId val="19247270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7474981"/>
      </c:catAx>
      <c:valAx>
        <c:axId val="21174749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47270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Evau Alumnos Aprobados</a:t>
            </a:r>
          </a:p>
        </c:rich>
      </c:tx>
      <c:overlay val="0"/>
    </c:title>
    <c:plotArea>
      <c:layout/>
      <c:barChart>
        <c:barDir val="col"/>
        <c:axId val="603444030"/>
        <c:axId val="1712044217"/>
      </c:barChart>
      <c:catAx>
        <c:axId val="6034440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2044217"/>
      </c:catAx>
      <c:valAx>
        <c:axId val="1712044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34440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Fase General</a:t>
            </a:r>
          </a:p>
        </c:rich>
      </c:tx>
      <c:overlay val="0"/>
    </c:title>
    <c:plotArea>
      <c:layout/>
      <c:barChart>
        <c:barDir val="col"/>
        <c:axId val="187112883"/>
        <c:axId val="1037281582"/>
      </c:barChart>
      <c:catAx>
        <c:axId val="187112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7281582"/>
      </c:catAx>
      <c:valAx>
        <c:axId val="10372815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1128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% Titulados Ordinaria</a:t>
            </a:r>
          </a:p>
        </c:rich>
      </c:tx>
      <c:overlay val="0"/>
    </c:title>
    <c:plotArea>
      <c:layout/>
      <c:areaChart>
        <c:ser>
          <c:idx val="0"/>
          <c:order val="0"/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Titulan!$D$2:$D$10</c:f>
            </c:strRef>
          </c:cat>
          <c:val>
            <c:numRef>
              <c:f>Titulan!$E$2:$E$10</c:f>
              <c:numCache/>
            </c:numRef>
          </c:val>
        </c:ser>
        <c:axId val="2063296435"/>
        <c:axId val="898386577"/>
      </c:areaChart>
      <c:catAx>
        <c:axId val="20632964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8386577"/>
      </c:catAx>
      <c:valAx>
        <c:axId val="898386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32964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Fase General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'Fase General'!$F$1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'Fase General'!$D$2:$D$13</c:f>
            </c:strRef>
          </c:cat>
          <c:val>
            <c:numRef>
              <c:f>'Fase General'!$F$2:$F$13</c:f>
              <c:numCache/>
            </c:numRef>
          </c:val>
        </c:ser>
        <c:ser>
          <c:idx val="1"/>
          <c:order val="1"/>
          <c:tx>
            <c:strRef>
              <c:f>'Fase General'!$G$1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'Fase General'!$D$2:$D$13</c:f>
            </c:strRef>
          </c:cat>
          <c:val>
            <c:numRef>
              <c:f>'Fase General'!$G$2:$G$10</c:f>
              <c:numCache/>
            </c:numRef>
          </c:val>
        </c:ser>
        <c:axId val="987907394"/>
        <c:axId val="673833872"/>
      </c:areaChart>
      <c:catAx>
        <c:axId val="987907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3833872"/>
      </c:catAx>
      <c:valAx>
        <c:axId val="673833872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79073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Fase General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'Fase General'!$F$1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'Fase General'!$D$2:$D$13</c:f>
            </c:strRef>
          </c:cat>
          <c:val>
            <c:numRef>
              <c:f>'Fase General'!$F$2:$F$13</c:f>
              <c:numCache/>
            </c:numRef>
          </c:val>
        </c:ser>
        <c:ser>
          <c:idx val="1"/>
          <c:order val="1"/>
          <c:tx>
            <c:strRef>
              <c:f>'Fase General'!$I$1</c:f>
            </c:strRef>
          </c:tx>
          <c:spPr>
            <a:solidFill>
              <a:srgbClr val="FF0000">
                <a:alpha val="30000"/>
              </a:srgbClr>
            </a:solidFill>
            <a:ln cmpd="sng">
              <a:solidFill>
                <a:srgbClr val="FF0000">
                  <a:alpha val="100000"/>
                </a:srgbClr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'Fase General'!$D$2:$D$13</c:f>
            </c:strRef>
          </c:cat>
          <c:val>
            <c:numRef>
              <c:f>'Fase General'!$I$2:$I$10</c:f>
              <c:numCache/>
            </c:numRef>
          </c:val>
        </c:ser>
        <c:axId val="1118849282"/>
        <c:axId val="1356325590"/>
      </c:areaChart>
      <c:catAx>
        <c:axId val="1118849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6325590"/>
      </c:catAx>
      <c:valAx>
        <c:axId val="1356325590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88492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Fase General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'Fase General'!$E$1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'Fase General'!$D$2:$D$13</c:f>
            </c:strRef>
          </c:cat>
          <c:val>
            <c:numRef>
              <c:f>'Fase General'!$E$2:$E$10</c:f>
              <c:numCache/>
            </c:numRef>
          </c:val>
        </c:ser>
        <c:ser>
          <c:idx val="1"/>
          <c:order val="1"/>
          <c:tx>
            <c:strRef>
              <c:f>'Fase General'!$H$1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'Fase General'!$D$2:$D$13</c:f>
            </c:strRef>
          </c:cat>
          <c:val>
            <c:numRef>
              <c:f>'Fase General'!$H$2:$H$10</c:f>
              <c:numCache/>
            </c:numRef>
          </c:val>
        </c:ser>
        <c:axId val="1638779256"/>
        <c:axId val="1267862274"/>
      </c:areaChart>
      <c:catAx>
        <c:axId val="1638779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7862274"/>
      </c:catAx>
      <c:valAx>
        <c:axId val="1267862274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87792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Lengua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Lengua!$E$1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Lengua!$D$2:$D$10</c:f>
            </c:strRef>
          </c:cat>
          <c:val>
            <c:numRef>
              <c:f>Lengua!$E$2:$E$10</c:f>
              <c:numCache/>
            </c:numRef>
          </c:val>
        </c:ser>
        <c:ser>
          <c:idx val="1"/>
          <c:order val="1"/>
          <c:tx>
            <c:strRef>
              <c:f>Lengua!$H$1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Lengua!$D$2:$D$10</c:f>
            </c:strRef>
          </c:cat>
          <c:val>
            <c:numRef>
              <c:f>Lengua!$H$2:$H$10</c:f>
              <c:numCache/>
            </c:numRef>
          </c:val>
        </c:ser>
        <c:axId val="731769739"/>
        <c:axId val="954083047"/>
      </c:areaChart>
      <c:catAx>
        <c:axId val="7317697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4083047"/>
      </c:catAx>
      <c:valAx>
        <c:axId val="954083047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17697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Lengua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Lengua!$F$1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Lengua!$D$2:$D$10</c:f>
            </c:strRef>
          </c:cat>
          <c:val>
            <c:numRef>
              <c:f>Lengua!$F$2:$F$10</c:f>
              <c:numCache/>
            </c:numRef>
          </c:val>
        </c:ser>
        <c:ser>
          <c:idx val="1"/>
          <c:order val="1"/>
          <c:tx>
            <c:strRef>
              <c:f>Lengua!$I$1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Lengua!$D$2:$D$10</c:f>
            </c:strRef>
          </c:cat>
          <c:val>
            <c:numRef>
              <c:f>Lengua!$I$2:$I$10</c:f>
              <c:numCache/>
            </c:numRef>
          </c:val>
        </c:ser>
        <c:axId val="1865599942"/>
        <c:axId val="1441876931"/>
      </c:areaChart>
      <c:catAx>
        <c:axId val="1865599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1876931"/>
      </c:catAx>
      <c:valAx>
        <c:axId val="1441876931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55999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Lengua</a:t>
            </a:r>
          </a:p>
        </c:rich>
      </c:tx>
      <c:overlay val="0"/>
    </c:title>
    <c:plotArea>
      <c:layout/>
      <c:areaChart>
        <c:ser>
          <c:idx val="0"/>
          <c:order val="0"/>
          <c:tx>
            <c:v>NM LSG EvAU</c:v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Lengua!$D$2:$D$10</c:f>
            </c:strRef>
          </c:cat>
          <c:val>
            <c:numRef>
              <c:f>Lengua!$F$2:$F$10</c:f>
              <c:numCache/>
            </c:numRef>
          </c:val>
        </c:ser>
        <c:ser>
          <c:idx val="1"/>
          <c:order val="1"/>
          <c:tx>
            <c:v>NM LSG Cole</c:v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Lengua!$D$2:$D$10</c:f>
            </c:strRef>
          </c:cat>
          <c:val>
            <c:numRef>
              <c:f>Lengua!$G$2:$G$10</c:f>
              <c:numCache/>
            </c:numRef>
          </c:val>
        </c:ser>
        <c:axId val="1428547687"/>
        <c:axId val="1344949595"/>
      </c:areaChart>
      <c:catAx>
        <c:axId val="1428547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4949595"/>
      </c:catAx>
      <c:valAx>
        <c:axId val="1344949595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85476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Inglés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'Inglés'!$E$1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'Inglés'!$D$2:$D$10</c:f>
            </c:strRef>
          </c:cat>
          <c:val>
            <c:numRef>
              <c:f>'Inglés'!$E$2:$E$10</c:f>
              <c:numCache/>
            </c:numRef>
          </c:val>
        </c:ser>
        <c:ser>
          <c:idx val="1"/>
          <c:order val="1"/>
          <c:tx>
            <c:strRef>
              <c:f>'Inglés'!$H$1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'Inglés'!$D$2:$D$10</c:f>
            </c:strRef>
          </c:cat>
          <c:val>
            <c:numRef>
              <c:f>'Inglés'!$H$2:$H$10</c:f>
              <c:numCache/>
            </c:numRef>
          </c:val>
        </c:ser>
        <c:axId val="565948667"/>
        <c:axId val="852812308"/>
      </c:areaChart>
      <c:catAx>
        <c:axId val="565948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2812308"/>
      </c:catAx>
      <c:valAx>
        <c:axId val="852812308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59486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Inglés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'Inglés'!$F$1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'Inglés'!$D$2:$D$10</c:f>
            </c:strRef>
          </c:cat>
          <c:val>
            <c:numRef>
              <c:f>'Inglés'!$F$2:$F$10</c:f>
              <c:numCache/>
            </c:numRef>
          </c:val>
        </c:ser>
        <c:ser>
          <c:idx val="1"/>
          <c:order val="1"/>
          <c:tx>
            <c:strRef>
              <c:f>'Inglés'!$I$1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'Inglés'!$D$2:$D$10</c:f>
            </c:strRef>
          </c:cat>
          <c:val>
            <c:numRef>
              <c:f>'Inglés'!$I$2:$I$10</c:f>
              <c:numCache/>
            </c:numRef>
          </c:val>
        </c:ser>
        <c:axId val="994835516"/>
        <c:axId val="1636793258"/>
      </c:areaChart>
      <c:catAx>
        <c:axId val="994835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6793258"/>
      </c:catAx>
      <c:valAx>
        <c:axId val="1636793258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48355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Inglés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'Inglés'!$F$1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'Inglés'!$D$2:$D$10</c:f>
            </c:strRef>
          </c:cat>
          <c:val>
            <c:numRef>
              <c:f>'Inglés'!$F$2:$F$10</c:f>
              <c:numCache/>
            </c:numRef>
          </c:val>
        </c:ser>
        <c:ser>
          <c:idx val="1"/>
          <c:order val="1"/>
          <c:tx>
            <c:strRef>
              <c:f>'Inglés'!$G$1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'Inglés'!$D$2:$D$10</c:f>
            </c:strRef>
          </c:cat>
          <c:val>
            <c:numRef>
              <c:f>'Inglés'!$G$2:$G$10</c:f>
              <c:numCache/>
            </c:numRef>
          </c:val>
        </c:ser>
        <c:axId val="183640244"/>
        <c:axId val="1684905772"/>
      </c:areaChart>
      <c:catAx>
        <c:axId val="1836402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4905772"/>
      </c:catAx>
      <c:valAx>
        <c:axId val="1684905772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6402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Historia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Historia!$E$1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Historia!$D$2:$D$10</c:f>
            </c:strRef>
          </c:cat>
          <c:val>
            <c:numRef>
              <c:f>Historia!$E$2:$E$10</c:f>
              <c:numCache/>
            </c:numRef>
          </c:val>
        </c:ser>
        <c:ser>
          <c:idx val="1"/>
          <c:order val="1"/>
          <c:tx>
            <c:strRef>
              <c:f>Historia!$H$1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Historia!$D$2:$D$10</c:f>
            </c:strRef>
          </c:cat>
          <c:val>
            <c:numRef>
              <c:f>Historia!$H$2:$H$10</c:f>
              <c:numCache/>
            </c:numRef>
          </c:val>
        </c:ser>
        <c:axId val="909782766"/>
        <c:axId val="1913433211"/>
      </c:areaChart>
      <c:catAx>
        <c:axId val="9097827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3433211"/>
      </c:catAx>
      <c:valAx>
        <c:axId val="1913433211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97827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Historia!$F$1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Historia!$D$2:$D$10</c:f>
            </c:strRef>
          </c:cat>
          <c:val>
            <c:numRef>
              <c:f>Historia!$F$2:$F$10</c:f>
              <c:numCache/>
            </c:numRef>
          </c:val>
        </c:ser>
        <c:ser>
          <c:idx val="1"/>
          <c:order val="1"/>
          <c:tx>
            <c:strRef>
              <c:f>Historia!$I$1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Historia!$D$2:$D$10</c:f>
            </c:strRef>
          </c:cat>
          <c:val>
            <c:numRef>
              <c:f>Historia!$I$2:$I$10</c:f>
              <c:numCache/>
            </c:numRef>
          </c:val>
        </c:ser>
        <c:axId val="28814845"/>
        <c:axId val="1914056715"/>
      </c:areaChart>
      <c:catAx>
        <c:axId val="28814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4056715"/>
      </c:catAx>
      <c:valAx>
        <c:axId val="1914056715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8148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Historia!$F$1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Historia!$D$2:$D$10</c:f>
            </c:strRef>
          </c:cat>
          <c:val>
            <c:numRef>
              <c:f>Historia!$F$2:$F$10</c:f>
              <c:numCache/>
            </c:numRef>
          </c:val>
        </c:ser>
        <c:ser>
          <c:idx val="1"/>
          <c:order val="1"/>
          <c:tx>
            <c:strRef>
              <c:f>Historia!$G$1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Historia!$D$2:$D$10</c:f>
            </c:strRef>
          </c:cat>
          <c:val>
            <c:numRef>
              <c:f>Historia!$G$2:$G$10</c:f>
              <c:numCache/>
            </c:numRef>
          </c:val>
        </c:ser>
        <c:axId val="392567409"/>
        <c:axId val="885829751"/>
      </c:areaChart>
      <c:catAx>
        <c:axId val="3925674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5829751"/>
      </c:catAx>
      <c:valAx>
        <c:axId val="885829751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25674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Matemáticas II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'Mate II'!$E$1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II'!$D$2:$D$10</c:f>
            </c:strRef>
          </c:cat>
          <c:val>
            <c:numRef>
              <c:f>'Mate II'!$E$2:$E$10</c:f>
              <c:numCache/>
            </c:numRef>
          </c:val>
        </c:ser>
        <c:ser>
          <c:idx val="1"/>
          <c:order val="1"/>
          <c:tx>
            <c:strRef>
              <c:f>'Mate II'!$H$1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II'!$D$2:$D$10</c:f>
            </c:strRef>
          </c:cat>
          <c:val>
            <c:numRef>
              <c:f>'Mate II'!$H$2:$H$10</c:f>
              <c:numCache/>
            </c:numRef>
          </c:val>
        </c:ser>
        <c:axId val="591546516"/>
        <c:axId val="1455604214"/>
      </c:areaChart>
      <c:catAx>
        <c:axId val="591546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5604214"/>
      </c:catAx>
      <c:valAx>
        <c:axId val="1455604214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15465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II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'Mate II'!$F$1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II'!$D$2:$D$10</c:f>
            </c:strRef>
          </c:cat>
          <c:val>
            <c:numRef>
              <c:f>'Mate II'!$F$2:$F$10</c:f>
              <c:numCache/>
            </c:numRef>
          </c:val>
        </c:ser>
        <c:ser>
          <c:idx val="1"/>
          <c:order val="1"/>
          <c:tx>
            <c:strRef>
              <c:f>'Mate II'!$I$1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II'!$D$2:$D$10</c:f>
            </c:strRef>
          </c:cat>
          <c:val>
            <c:numRef>
              <c:f>'Mate II'!$I$2:$I$10</c:f>
              <c:numCache/>
            </c:numRef>
          </c:val>
        </c:ser>
        <c:axId val="1913439793"/>
        <c:axId val="128750924"/>
      </c:areaChart>
      <c:catAx>
        <c:axId val="1913439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750924"/>
      </c:catAx>
      <c:valAx>
        <c:axId val="128750924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34397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II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'Mate II'!$F$1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II'!$D$2:$D$10</c:f>
            </c:strRef>
          </c:cat>
          <c:val>
            <c:numRef>
              <c:f>'Mate II'!$F$2:$F$10</c:f>
              <c:numCache/>
            </c:numRef>
          </c:val>
        </c:ser>
        <c:ser>
          <c:idx val="1"/>
          <c:order val="1"/>
          <c:tx>
            <c:strRef>
              <c:f>'Mate II'!$G$1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II'!$D$2:$D$10</c:f>
            </c:strRef>
          </c:cat>
          <c:val>
            <c:numRef>
              <c:f>'Mate II'!$G$2:$G$10</c:f>
              <c:numCache/>
            </c:numRef>
          </c:val>
        </c:ser>
        <c:axId val="680925335"/>
        <c:axId val="2140759724"/>
      </c:areaChart>
      <c:catAx>
        <c:axId val="680925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0759724"/>
      </c:catAx>
      <c:valAx>
        <c:axId val="2140759724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09253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Matemáticas CCSS II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'Mate CCSS II'!$E$1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CCSS II'!$D$2:$D$10</c:f>
            </c:strRef>
          </c:cat>
          <c:val>
            <c:numRef>
              <c:f>'Mate CCSS II'!$E$2:$E$10</c:f>
              <c:numCache/>
            </c:numRef>
          </c:val>
        </c:ser>
        <c:ser>
          <c:idx val="1"/>
          <c:order val="1"/>
          <c:tx>
            <c:strRef>
              <c:f>'Mate CCSS II'!$H$1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CCSS II'!$D$2:$D$10</c:f>
            </c:strRef>
          </c:cat>
          <c:val>
            <c:numRef>
              <c:f>'Mate CCSS II'!$H$2:$H$10</c:f>
              <c:numCache/>
            </c:numRef>
          </c:val>
        </c:ser>
        <c:axId val="300976031"/>
        <c:axId val="303609436"/>
      </c:areaChart>
      <c:catAx>
        <c:axId val="300976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3609436"/>
      </c:catAx>
      <c:valAx>
        <c:axId val="303609436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09760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CCSS II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'Mate CCSS II'!$F$1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CCSS II'!$D$2:$D$10</c:f>
            </c:strRef>
          </c:cat>
          <c:val>
            <c:numRef>
              <c:f>'Mate CCSS II'!$F$2:$F$10</c:f>
              <c:numCache/>
            </c:numRef>
          </c:val>
        </c:ser>
        <c:ser>
          <c:idx val="1"/>
          <c:order val="1"/>
          <c:tx>
            <c:strRef>
              <c:f>'Mate CCSS II'!$I$1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CCSS II'!$D$2:$D$10</c:f>
            </c:strRef>
          </c:cat>
          <c:val>
            <c:numRef>
              <c:f>'Mate CCSS II'!$I$2:$I$10</c:f>
              <c:numCache/>
            </c:numRef>
          </c:val>
        </c:ser>
        <c:axId val="1025853271"/>
        <c:axId val="995230166"/>
      </c:areaChart>
      <c:catAx>
        <c:axId val="1025853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5230166"/>
      </c:catAx>
      <c:valAx>
        <c:axId val="995230166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58532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CCSS II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'Mate CCSS II'!$F$1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CCSS II'!$D$2:$D$10</c:f>
            </c:strRef>
          </c:cat>
          <c:val>
            <c:numRef>
              <c:f>'Mate CCSS II'!$F$2:$F$10</c:f>
              <c:numCache/>
            </c:numRef>
          </c:val>
        </c:ser>
        <c:ser>
          <c:idx val="1"/>
          <c:order val="1"/>
          <c:tx>
            <c:strRef>
              <c:f>'Mate CCSS II'!$G$1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'Mate CCSS II'!$D$2:$D$10</c:f>
            </c:strRef>
          </c:cat>
          <c:val>
            <c:numRef>
              <c:f>'Mate CCSS II'!$G$2:$G$10</c:f>
              <c:numCache/>
            </c:numRef>
          </c:val>
        </c:ser>
        <c:axId val="834465686"/>
        <c:axId val="1439455378"/>
      </c:areaChart>
      <c:catAx>
        <c:axId val="8344656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9455378"/>
      </c:catAx>
      <c:valAx>
        <c:axId val="1439455378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44656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Física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'Física'!$E$1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'Física'!$D$2:$D$10</c:f>
            </c:strRef>
          </c:cat>
          <c:val>
            <c:numRef>
              <c:f>'Física'!$E$2:$E$10</c:f>
              <c:numCache/>
            </c:numRef>
          </c:val>
        </c:ser>
        <c:ser>
          <c:idx val="1"/>
          <c:order val="1"/>
          <c:tx>
            <c:strRef>
              <c:f>'Física'!$H$1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'Física'!$D$2:$D$10</c:f>
            </c:strRef>
          </c:cat>
          <c:val>
            <c:numRef>
              <c:f>'Física'!$H$2:$H$10</c:f>
              <c:numCache/>
            </c:numRef>
          </c:val>
        </c:ser>
        <c:axId val="829838165"/>
        <c:axId val="2086110105"/>
      </c:areaChart>
      <c:catAx>
        <c:axId val="8298381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6110105"/>
      </c:catAx>
      <c:valAx>
        <c:axId val="2086110105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98381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Física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'Física'!$F$1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'Física'!$D$2:$D$10</c:f>
            </c:strRef>
          </c:cat>
          <c:val>
            <c:numRef>
              <c:f>'Física'!$F$2:$F$10</c:f>
              <c:numCache/>
            </c:numRef>
          </c:val>
        </c:ser>
        <c:ser>
          <c:idx val="1"/>
          <c:order val="1"/>
          <c:tx>
            <c:strRef>
              <c:f>'Física'!$I$1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'Física'!$D$2:$D$10</c:f>
            </c:strRef>
          </c:cat>
          <c:val>
            <c:numRef>
              <c:f>'Física'!$I$2:$I$10</c:f>
              <c:numCache/>
            </c:numRef>
          </c:val>
        </c:ser>
        <c:axId val="1171131849"/>
        <c:axId val="657024940"/>
      </c:areaChart>
      <c:catAx>
        <c:axId val="1171131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7024940"/>
      </c:catAx>
      <c:valAx>
        <c:axId val="657024940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11318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Física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'Física'!$F$1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'Física'!$D$2:$D$10</c:f>
            </c:strRef>
          </c:cat>
          <c:val>
            <c:numRef>
              <c:f>'Física'!$F$2:$F$10</c:f>
              <c:numCache/>
            </c:numRef>
          </c:val>
        </c:ser>
        <c:ser>
          <c:idx val="1"/>
          <c:order val="1"/>
          <c:tx>
            <c:strRef>
              <c:f>'Física'!$G$1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'Física'!$D$2:$D$10</c:f>
            </c:strRef>
          </c:cat>
          <c:val>
            <c:numRef>
              <c:f>'Física'!$G$2:$G$10</c:f>
              <c:numCache/>
            </c:numRef>
          </c:val>
        </c:ser>
        <c:axId val="2054303153"/>
        <c:axId val="897416523"/>
      </c:areaChart>
      <c:catAx>
        <c:axId val="2054303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416523"/>
      </c:catAx>
      <c:valAx>
        <c:axId val="897416523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43031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Química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'Química'!$E$1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'Química'!$D$2:$D$10</c:f>
            </c:strRef>
          </c:cat>
          <c:val>
            <c:numRef>
              <c:f>'Química'!$E$2:$E$10</c:f>
              <c:numCache/>
            </c:numRef>
          </c:val>
        </c:ser>
        <c:ser>
          <c:idx val="1"/>
          <c:order val="1"/>
          <c:tx>
            <c:strRef>
              <c:f>'Química'!$H$1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'Química'!$D$2:$D$10</c:f>
            </c:strRef>
          </c:cat>
          <c:val>
            <c:numRef>
              <c:f>'Química'!$H$2:$H$10</c:f>
              <c:numCache/>
            </c:numRef>
          </c:val>
        </c:ser>
        <c:axId val="93466643"/>
        <c:axId val="642727071"/>
      </c:areaChart>
      <c:catAx>
        <c:axId val="934666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2727071"/>
      </c:catAx>
      <c:valAx>
        <c:axId val="642727071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4666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Química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'Química'!$F$1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'Química'!$D$2:$D$10</c:f>
            </c:strRef>
          </c:cat>
          <c:val>
            <c:numRef>
              <c:f>'Química'!$F$2:$F$10</c:f>
              <c:numCache/>
            </c:numRef>
          </c:val>
        </c:ser>
        <c:ser>
          <c:idx val="1"/>
          <c:order val="1"/>
          <c:tx>
            <c:strRef>
              <c:f>'Química'!$I$1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'Química'!$D$2:$D$10</c:f>
            </c:strRef>
          </c:cat>
          <c:val>
            <c:numRef>
              <c:f>'Química'!$I$2:$I$10</c:f>
              <c:numCache/>
            </c:numRef>
          </c:val>
        </c:ser>
        <c:axId val="909679689"/>
        <c:axId val="601949425"/>
      </c:areaChart>
      <c:catAx>
        <c:axId val="9096796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1949425"/>
      </c:catAx>
      <c:valAx>
        <c:axId val="601949425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96796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Química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'Química'!$F$1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'Química'!$D$2:$D$10</c:f>
            </c:strRef>
          </c:cat>
          <c:val>
            <c:numRef>
              <c:f>'Química'!$F$2:$F$10</c:f>
              <c:numCache/>
            </c:numRef>
          </c:val>
        </c:ser>
        <c:ser>
          <c:idx val="1"/>
          <c:order val="1"/>
          <c:tx>
            <c:strRef>
              <c:f>'Química'!$G$1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'Química'!$D$2:$D$10</c:f>
            </c:strRef>
          </c:cat>
          <c:val>
            <c:numRef>
              <c:f>'Química'!$G$2:$G$10</c:f>
              <c:numCache/>
            </c:numRef>
          </c:val>
        </c:ser>
        <c:axId val="1982038041"/>
        <c:axId val="1908118946"/>
      </c:areaChart>
      <c:catAx>
        <c:axId val="19820380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8118946"/>
      </c:catAx>
      <c:valAx>
        <c:axId val="1908118946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20380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Biología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'Biología'!$E$1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'Biología'!$D$2:$D$10</c:f>
            </c:strRef>
          </c:cat>
          <c:val>
            <c:numRef>
              <c:f>'Biología'!$E$2:$E$10</c:f>
              <c:numCache/>
            </c:numRef>
          </c:val>
        </c:ser>
        <c:ser>
          <c:idx val="1"/>
          <c:order val="1"/>
          <c:tx>
            <c:strRef>
              <c:f>'Biología'!$H$1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'Biología'!$D$2:$D$10</c:f>
            </c:strRef>
          </c:cat>
          <c:val>
            <c:numRef>
              <c:f>'Biología'!$H$2:$H$10</c:f>
              <c:numCache/>
            </c:numRef>
          </c:val>
        </c:ser>
        <c:axId val="923207571"/>
        <c:axId val="25153583"/>
      </c:areaChart>
      <c:catAx>
        <c:axId val="9232075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153583"/>
      </c:catAx>
      <c:valAx>
        <c:axId val="25153583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32075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Biología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'Biología'!$F$1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'Biología'!$D$2:$D$10</c:f>
            </c:strRef>
          </c:cat>
          <c:val>
            <c:numRef>
              <c:f>'Biología'!$F$2:$F$10</c:f>
              <c:numCache/>
            </c:numRef>
          </c:val>
        </c:ser>
        <c:ser>
          <c:idx val="1"/>
          <c:order val="1"/>
          <c:tx>
            <c:strRef>
              <c:f>'Biología'!$I$1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'Biología'!$D$2:$D$10</c:f>
            </c:strRef>
          </c:cat>
          <c:val>
            <c:numRef>
              <c:f>'Biología'!$I$2:$I$10</c:f>
              <c:numCache/>
            </c:numRef>
          </c:val>
        </c:ser>
        <c:axId val="450903074"/>
        <c:axId val="2138474649"/>
      </c:areaChart>
      <c:catAx>
        <c:axId val="4509030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8474649"/>
      </c:catAx>
      <c:valAx>
        <c:axId val="2138474649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09030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Biología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'Biología'!$F$1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'Biología'!$D$2:$D$10</c:f>
            </c:strRef>
          </c:cat>
          <c:val>
            <c:numRef>
              <c:f>'Biología'!$F$2:$F$10</c:f>
              <c:numCache/>
            </c:numRef>
          </c:val>
        </c:ser>
        <c:ser>
          <c:idx val="1"/>
          <c:order val="1"/>
          <c:tx>
            <c:strRef>
              <c:f>'Biología'!$G$1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'Biología'!$D$2:$D$10</c:f>
            </c:strRef>
          </c:cat>
          <c:val>
            <c:numRef>
              <c:f>'Biología'!$G$2:$G$10</c:f>
              <c:numCache/>
            </c:numRef>
          </c:val>
        </c:ser>
        <c:axId val="555815435"/>
        <c:axId val="380466244"/>
      </c:areaChart>
      <c:catAx>
        <c:axId val="5558154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0466244"/>
      </c:catAx>
      <c:valAx>
        <c:axId val="380466244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58154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Dibujo Técnico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'Dibujo Técnico'!$E$1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'Dibujo Técnico'!$D$2:$D$10</c:f>
            </c:strRef>
          </c:cat>
          <c:val>
            <c:numRef>
              <c:f>'Dibujo Técnico'!$E$2:$E$10</c:f>
              <c:numCache/>
            </c:numRef>
          </c:val>
        </c:ser>
        <c:ser>
          <c:idx val="1"/>
          <c:order val="1"/>
          <c:tx>
            <c:strRef>
              <c:f>'Dibujo Técnico'!$H$1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'Dibujo Técnico'!$D$2:$D$10</c:f>
            </c:strRef>
          </c:cat>
          <c:val>
            <c:numRef>
              <c:f>'Dibujo Técnico'!$H$2:$H$10</c:f>
              <c:numCache/>
            </c:numRef>
          </c:val>
        </c:ser>
        <c:axId val="111999739"/>
        <c:axId val="1943684513"/>
      </c:areaChart>
      <c:catAx>
        <c:axId val="1119997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3684513"/>
      </c:catAx>
      <c:valAx>
        <c:axId val="1943684513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9997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Dibujo Técnico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'Dibujo Técnico'!$F$1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'Dibujo Técnico'!$D$2:$D$10</c:f>
            </c:strRef>
          </c:cat>
          <c:val>
            <c:numRef>
              <c:f>'Dibujo Técnico'!$F$2:$F$10</c:f>
              <c:numCache/>
            </c:numRef>
          </c:val>
        </c:ser>
        <c:ser>
          <c:idx val="1"/>
          <c:order val="1"/>
          <c:tx>
            <c:strRef>
              <c:f>'Dibujo Técnico'!$I$1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'Dibujo Técnico'!$D$2:$D$10</c:f>
            </c:strRef>
          </c:cat>
          <c:val>
            <c:numRef>
              <c:f>'Dibujo Técnico'!$I$2:$I$10</c:f>
              <c:numCache/>
            </c:numRef>
          </c:val>
        </c:ser>
        <c:axId val="1511948075"/>
        <c:axId val="94256922"/>
      </c:areaChart>
      <c:catAx>
        <c:axId val="15119480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256922"/>
      </c:catAx>
      <c:valAx>
        <c:axId val="94256922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19480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Dibujo Técnico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'Dibujo Técnico'!$F$1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'Dibujo Técnico'!$D$2:$D$10</c:f>
            </c:strRef>
          </c:cat>
          <c:val>
            <c:numRef>
              <c:f>'Dibujo Técnico'!$F$2:$F$10</c:f>
              <c:numCache/>
            </c:numRef>
          </c:val>
        </c:ser>
        <c:ser>
          <c:idx val="1"/>
          <c:order val="1"/>
          <c:tx>
            <c:strRef>
              <c:f>'Dibujo Técnico'!$G$1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'Dibujo Técnico'!$D$2:$D$10</c:f>
            </c:strRef>
          </c:cat>
          <c:val>
            <c:numRef>
              <c:f>'Dibujo Técnico'!$G$2:$G$10</c:f>
              <c:numCache/>
            </c:numRef>
          </c:val>
        </c:ser>
        <c:axId val="1541205414"/>
        <c:axId val="2141235595"/>
      </c:areaChart>
      <c:catAx>
        <c:axId val="1541205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1235595"/>
      </c:catAx>
      <c:valAx>
        <c:axId val="2141235595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12054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Economía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'Economía'!$E$1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'Economía'!$D$2:$D$10</c:f>
            </c:strRef>
          </c:cat>
          <c:val>
            <c:numRef>
              <c:f>'Economía'!$E$2:$E$10</c:f>
              <c:numCache/>
            </c:numRef>
          </c:val>
        </c:ser>
        <c:ser>
          <c:idx val="1"/>
          <c:order val="1"/>
          <c:tx>
            <c:strRef>
              <c:f>'Economía'!$H$1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'Economía'!$D$2:$D$10</c:f>
            </c:strRef>
          </c:cat>
          <c:val>
            <c:numRef>
              <c:f>'Economía'!$H$2:$H$10</c:f>
              <c:numCache/>
            </c:numRef>
          </c:val>
        </c:ser>
        <c:axId val="1709181187"/>
        <c:axId val="908507453"/>
      </c:areaChart>
      <c:catAx>
        <c:axId val="17091811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8507453"/>
      </c:catAx>
      <c:valAx>
        <c:axId val="908507453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91811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Economía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'Economía'!$F$1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'Economía'!$D$2:$D$10</c:f>
            </c:strRef>
          </c:cat>
          <c:val>
            <c:numRef>
              <c:f>'Economía'!$F$2:$F$10</c:f>
              <c:numCache/>
            </c:numRef>
          </c:val>
        </c:ser>
        <c:ser>
          <c:idx val="1"/>
          <c:order val="1"/>
          <c:tx>
            <c:strRef>
              <c:f>'Economía'!$I$1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'Economía'!$D$2:$D$10</c:f>
            </c:strRef>
          </c:cat>
          <c:val>
            <c:numRef>
              <c:f>'Economía'!$I$2:$I$10</c:f>
              <c:numCache/>
            </c:numRef>
          </c:val>
        </c:ser>
        <c:axId val="1009923262"/>
        <c:axId val="1709137840"/>
      </c:areaChart>
      <c:catAx>
        <c:axId val="10099232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9137840"/>
      </c:catAx>
      <c:valAx>
        <c:axId val="1709137840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99232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Economía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'Economía'!$F$1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'Economía'!$D$2:$D$10</c:f>
            </c:strRef>
          </c:cat>
          <c:val>
            <c:numRef>
              <c:f>'Economía'!$F$2:$F$10</c:f>
              <c:numCache/>
            </c:numRef>
          </c:val>
        </c:ser>
        <c:ser>
          <c:idx val="1"/>
          <c:order val="1"/>
          <c:tx>
            <c:strRef>
              <c:f>'Economía'!$G$1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'Economía'!$D$2:$D$10</c:f>
            </c:strRef>
          </c:cat>
          <c:val>
            <c:numRef>
              <c:f>'Economía'!$G$2:$G$10</c:f>
              <c:numCache/>
            </c:numRef>
          </c:val>
        </c:ser>
        <c:axId val="1355326511"/>
        <c:axId val="1360575780"/>
      </c:areaChart>
      <c:catAx>
        <c:axId val="135532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0575780"/>
      </c:catAx>
      <c:valAx>
        <c:axId val="1360575780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53265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Historia de la Filosofía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'Filosofía'!$E$1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'Filosofía'!$D$2:$D$10</c:f>
            </c:strRef>
          </c:cat>
          <c:val>
            <c:numRef>
              <c:f>'Filosofía'!$E$2:$E$10</c:f>
              <c:numCache/>
            </c:numRef>
          </c:val>
        </c:ser>
        <c:ser>
          <c:idx val="1"/>
          <c:order val="1"/>
          <c:tx>
            <c:strRef>
              <c:f>'Filosofía'!$H$1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'Filosofía'!$D$2:$D$10</c:f>
            </c:strRef>
          </c:cat>
          <c:val>
            <c:numRef>
              <c:f>'Filosofía'!$H$2:$H$10</c:f>
              <c:numCache/>
            </c:numRef>
          </c:val>
        </c:ser>
        <c:axId val="1126201532"/>
        <c:axId val="538617935"/>
      </c:areaChart>
      <c:catAx>
        <c:axId val="11262015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8617935"/>
      </c:catAx>
      <c:valAx>
        <c:axId val="538617935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62015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 la Filosofía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'Filosofía'!$F$1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'Filosofía'!$D$2:$D$10</c:f>
            </c:strRef>
          </c:cat>
          <c:val>
            <c:numRef>
              <c:f>'Filosofía'!$F$2:$F$10</c:f>
              <c:numCache/>
            </c:numRef>
          </c:val>
        </c:ser>
        <c:ser>
          <c:idx val="1"/>
          <c:order val="1"/>
          <c:tx>
            <c:strRef>
              <c:f>'Filosofía'!$I$1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'Filosofía'!$D$2:$D$10</c:f>
            </c:strRef>
          </c:cat>
          <c:val>
            <c:numRef>
              <c:f>'Filosofía'!$I$2:$I$10</c:f>
              <c:numCache/>
            </c:numRef>
          </c:val>
        </c:ser>
        <c:axId val="386044280"/>
        <c:axId val="1417937849"/>
      </c:areaChart>
      <c:catAx>
        <c:axId val="386044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7937849"/>
      </c:catAx>
      <c:valAx>
        <c:axId val="1417937849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60442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 la Filosofía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'Filosofía'!$F$1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'Filosofía'!$D$2:$D$10</c:f>
            </c:strRef>
          </c:cat>
          <c:val>
            <c:numRef>
              <c:f>'Filosofía'!$F$2:$F$10</c:f>
              <c:numCache/>
            </c:numRef>
          </c:val>
        </c:ser>
        <c:ser>
          <c:idx val="1"/>
          <c:order val="1"/>
          <c:tx>
            <c:strRef>
              <c:f>'Filosofía'!$G$1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'Filosofía'!$D$2:$D$10</c:f>
            </c:strRef>
          </c:cat>
          <c:val>
            <c:numRef>
              <c:f>'Filosofía'!$G$2:$G$10</c:f>
              <c:numCache/>
            </c:numRef>
          </c:val>
        </c:ser>
        <c:axId val="1921372400"/>
        <c:axId val="2030649753"/>
      </c:areaChart>
      <c:catAx>
        <c:axId val="1921372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0649753"/>
      </c:catAx>
      <c:valAx>
        <c:axId val="2030649753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13724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Historia del Arte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'Historia del Arte'!$E$1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'Historia del Arte'!$D$2:$D$10</c:f>
            </c:strRef>
          </c:cat>
          <c:val>
            <c:numRef>
              <c:f>'Historia del Arte'!$E$2:$E$10</c:f>
              <c:numCache/>
            </c:numRef>
          </c:val>
        </c:ser>
        <c:ser>
          <c:idx val="1"/>
          <c:order val="1"/>
          <c:tx>
            <c:strRef>
              <c:f>'Historia del Arte'!$H$1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'Historia del Arte'!$D$2:$D$10</c:f>
            </c:strRef>
          </c:cat>
          <c:val>
            <c:numRef>
              <c:f>'Historia del Arte'!$H$2:$H$10</c:f>
              <c:numCache/>
            </c:numRef>
          </c:val>
        </c:ser>
        <c:axId val="2101967726"/>
        <c:axId val="1184191676"/>
      </c:areaChart>
      <c:catAx>
        <c:axId val="21019677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4191676"/>
      </c:catAx>
      <c:valAx>
        <c:axId val="1184191676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19677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del Arte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'Historia del Arte'!$F$1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'Historia del Arte'!$D$2:$D$10</c:f>
            </c:strRef>
          </c:cat>
          <c:val>
            <c:numRef>
              <c:f>'Historia del Arte'!$F$2:$F$10</c:f>
              <c:numCache/>
            </c:numRef>
          </c:val>
        </c:ser>
        <c:ser>
          <c:idx val="1"/>
          <c:order val="1"/>
          <c:tx>
            <c:strRef>
              <c:f>'Historia del Arte'!$I$1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'Historia del Arte'!$D$2:$D$10</c:f>
            </c:strRef>
          </c:cat>
          <c:val>
            <c:numRef>
              <c:f>'Historia del Arte'!$I$2:$I$10</c:f>
              <c:numCache/>
            </c:numRef>
          </c:val>
        </c:ser>
        <c:axId val="690711007"/>
        <c:axId val="1375803746"/>
      </c:areaChart>
      <c:catAx>
        <c:axId val="690711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5803746"/>
      </c:catAx>
      <c:valAx>
        <c:axId val="1375803746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07110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del Arte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'Historia del Arte'!$F$1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'Historia del Arte'!$D$2:$D$10</c:f>
            </c:strRef>
          </c:cat>
          <c:val>
            <c:numRef>
              <c:f>'Historia del Arte'!$F$2:$F$10</c:f>
              <c:numCache/>
            </c:numRef>
          </c:val>
        </c:ser>
        <c:ser>
          <c:idx val="1"/>
          <c:order val="1"/>
          <c:tx>
            <c:strRef>
              <c:f>'Historia del Arte'!$G$1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'Historia del Arte'!$D$2:$D$10</c:f>
            </c:strRef>
          </c:cat>
          <c:val>
            <c:numRef>
              <c:f>'Historia del Arte'!$G$2:$G$10</c:f>
              <c:numCache/>
            </c:numRef>
          </c:val>
        </c:ser>
        <c:axId val="1448629505"/>
        <c:axId val="980637333"/>
      </c:areaChart>
      <c:catAx>
        <c:axId val="1448629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0637333"/>
      </c:catAx>
      <c:valAx>
        <c:axId val="980637333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86295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Geografía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'Geografía'!$E$1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'Geografía'!$D$2:$D$11</c:f>
            </c:strRef>
          </c:cat>
          <c:val>
            <c:numRef>
              <c:f>'Geografía'!$E$2:$E$11</c:f>
              <c:numCache/>
            </c:numRef>
          </c:val>
        </c:ser>
        <c:ser>
          <c:idx val="1"/>
          <c:order val="1"/>
          <c:tx>
            <c:strRef>
              <c:f>'Geografía'!$H$1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'Geografía'!$D$2:$D$11</c:f>
            </c:strRef>
          </c:cat>
          <c:val>
            <c:numRef>
              <c:f>'Geografía'!$H$2:$H$11</c:f>
              <c:numCache/>
            </c:numRef>
          </c:val>
        </c:ser>
        <c:axId val="777397705"/>
        <c:axId val="1018267801"/>
      </c:areaChart>
      <c:catAx>
        <c:axId val="7773977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8267801"/>
      </c:catAx>
      <c:valAx>
        <c:axId val="1018267801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73977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Geografía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'Geografía'!$F$1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'Geografía'!$D$2:$D$11</c:f>
            </c:strRef>
          </c:cat>
          <c:val>
            <c:numRef>
              <c:f>'Geografía'!$F$2:$F$11</c:f>
              <c:numCache/>
            </c:numRef>
          </c:val>
        </c:ser>
        <c:ser>
          <c:idx val="1"/>
          <c:order val="1"/>
          <c:tx>
            <c:strRef>
              <c:f>'Geografía'!$I$1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'Geografía'!$D$2:$D$11</c:f>
            </c:strRef>
          </c:cat>
          <c:val>
            <c:numRef>
              <c:f>'Geografía'!$I$2:$I$11</c:f>
              <c:numCache/>
            </c:numRef>
          </c:val>
        </c:ser>
        <c:axId val="2142984150"/>
        <c:axId val="74840435"/>
      </c:areaChart>
      <c:catAx>
        <c:axId val="21429841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840435"/>
      </c:catAx>
      <c:valAx>
        <c:axId val="74840435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29841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Geografía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'Geografía'!$F$1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'Geografía'!$D$2:$D$11</c:f>
            </c:strRef>
          </c:cat>
          <c:val>
            <c:numRef>
              <c:f>'Geografía'!$F$2:$F$11</c:f>
              <c:numCache/>
            </c:numRef>
          </c:val>
        </c:ser>
        <c:ser>
          <c:idx val="1"/>
          <c:order val="1"/>
          <c:tx>
            <c:strRef>
              <c:f>'Geografía'!$G$1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'Geografía'!$D$2:$D$11</c:f>
            </c:strRef>
          </c:cat>
          <c:val>
            <c:numRef>
              <c:f>'Geografía'!$G$2:$G$10</c:f>
              <c:numCache/>
            </c:numRef>
          </c:val>
        </c:ser>
        <c:axId val="1272090872"/>
        <c:axId val="321361168"/>
      </c:areaChart>
      <c:catAx>
        <c:axId val="1272090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1361168"/>
      </c:catAx>
      <c:valAx>
        <c:axId val="321361168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20908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Francés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'Francés'!$E$1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'Francés'!$D$2:$D$13</c:f>
            </c:strRef>
          </c:cat>
          <c:val>
            <c:numRef>
              <c:f>'Francés'!$E$2:$E$13</c:f>
              <c:numCache/>
            </c:numRef>
          </c:val>
        </c:ser>
        <c:ser>
          <c:idx val="1"/>
          <c:order val="1"/>
          <c:tx>
            <c:strRef>
              <c:f>'Francés'!$H$1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'Francés'!$D$2:$D$13</c:f>
            </c:strRef>
          </c:cat>
          <c:val>
            <c:numRef>
              <c:f>'Francés'!$H$2:$H$13</c:f>
              <c:numCache/>
            </c:numRef>
          </c:val>
        </c:ser>
        <c:axId val="358134371"/>
        <c:axId val="1408794109"/>
      </c:areaChart>
      <c:catAx>
        <c:axId val="3581343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8794109"/>
      </c:catAx>
      <c:valAx>
        <c:axId val="1408794109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81343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Francés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'Francés'!$F$1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'Francés'!$D$2:$D$13</c:f>
            </c:strRef>
          </c:cat>
          <c:val>
            <c:numRef>
              <c:f>'Francés'!$F$2:$F$13</c:f>
              <c:numCache/>
            </c:numRef>
          </c:val>
        </c:ser>
        <c:ser>
          <c:idx val="1"/>
          <c:order val="1"/>
          <c:tx>
            <c:strRef>
              <c:f>'Francés'!$I$1</c:f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'Francés'!$D$2:$D$13</c:f>
            </c:strRef>
          </c:cat>
          <c:val>
            <c:numRef>
              <c:f>'Francés'!$I$2:$I$13</c:f>
              <c:numCache/>
            </c:numRef>
          </c:val>
        </c:ser>
        <c:axId val="131579911"/>
        <c:axId val="804198473"/>
      </c:areaChart>
      <c:catAx>
        <c:axId val="131579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4198473"/>
      </c:catAx>
      <c:valAx>
        <c:axId val="804198473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5799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Francés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'Francés'!$F$1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'Francés'!$D$2:$D$13</c:f>
            </c:strRef>
          </c:cat>
          <c:val>
            <c:numRef>
              <c:f>'Francés'!$F$2:$F$13</c:f>
              <c:numCache/>
            </c:numRef>
          </c:val>
        </c:ser>
        <c:ser>
          <c:idx val="1"/>
          <c:order val="1"/>
          <c:tx>
            <c:strRef>
              <c:f>'Francés'!$G$1</c:f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'Francés'!$D$2:$D$13</c:f>
            </c:strRef>
          </c:cat>
          <c:val>
            <c:numRef>
              <c:f>'Francés'!$G$2:$G$10</c:f>
              <c:numCache/>
            </c:numRef>
          </c:val>
        </c:ser>
        <c:axId val="1436365196"/>
        <c:axId val="2139318392"/>
      </c:areaChart>
      <c:catAx>
        <c:axId val="14363651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9318392"/>
      </c:catAx>
      <c:valAx>
        <c:axId val="2139318392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63651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Tecno e Ing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'Tecno e Ing'!$E$1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'Tecno e Ing'!$D$2:$D$13</c:f>
            </c:strRef>
          </c:cat>
          <c:val>
            <c:numRef>
              <c:f>'Tecno e Ing'!$E$2:$E$13</c:f>
              <c:numCache/>
            </c:numRef>
          </c:val>
        </c:ser>
        <c:axId val="1404981380"/>
        <c:axId val="1290460424"/>
      </c:areaChart>
      <c:catAx>
        <c:axId val="14049813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0460424"/>
      </c:catAx>
      <c:valAx>
        <c:axId val="1290460424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49813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Tecno e Ing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'Tecno e Ing'!$F$1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'Tecno e Ing'!$D$2:$D$13</c:f>
            </c:strRef>
          </c:cat>
          <c:val>
            <c:numRef>
              <c:f>'Tecno e Ing'!$F$2:$F$13</c:f>
              <c:numCache/>
            </c:numRef>
          </c:val>
        </c:ser>
        <c:axId val="1255991214"/>
        <c:axId val="1540458825"/>
      </c:areaChart>
      <c:catAx>
        <c:axId val="12559912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0458825"/>
      </c:catAx>
      <c:valAx>
        <c:axId val="1540458825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59912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Tecno e Ing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'Tecno e Ing'!$F$1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'Tecno e Ing'!$D$2:$D$13</c:f>
            </c:strRef>
          </c:cat>
          <c:val>
            <c:numRef>
              <c:f>'Tecno e Ing'!$F$2:$F$13</c:f>
              <c:numCache/>
            </c:numRef>
          </c:val>
        </c:ser>
        <c:axId val="1566543987"/>
        <c:axId val="2136722278"/>
      </c:areaChart>
      <c:catAx>
        <c:axId val="15665439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6722278"/>
      </c:catAx>
      <c:valAx>
        <c:axId val="2136722278"/>
        <c:scaling>
          <c:orientation val="minMax"/>
          <c:max val="1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65439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20" Type="http://schemas.openxmlformats.org/officeDocument/2006/relationships/image" Target="../media/Chart20.png"/><Relationship Id="rId22" Type="http://schemas.openxmlformats.org/officeDocument/2006/relationships/image" Target="../media/Chart22.png"/><Relationship Id="rId21" Type="http://schemas.openxmlformats.org/officeDocument/2006/relationships/image" Target="../media/Chart21.png"/><Relationship Id="rId24" Type="http://schemas.openxmlformats.org/officeDocument/2006/relationships/chart" Target="../charts/chart19.xml"/><Relationship Id="rId23" Type="http://schemas.openxmlformats.org/officeDocument/2006/relationships/image" Target="../media/Chart23.png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26" Type="http://schemas.openxmlformats.org/officeDocument/2006/relationships/image" Target="../media/Chart26.png"/><Relationship Id="rId25" Type="http://schemas.openxmlformats.org/officeDocument/2006/relationships/image" Target="../media/Chart25.png"/><Relationship Id="rId27" Type="http://schemas.openxmlformats.org/officeDocument/2006/relationships/chart" Target="../charts/chart20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5" Type="http://schemas.openxmlformats.org/officeDocument/2006/relationships/chart" Target="../charts/chart15.xml"/><Relationship Id="rId14" Type="http://schemas.openxmlformats.org/officeDocument/2006/relationships/chart" Target="../charts/chart14.xml"/><Relationship Id="rId17" Type="http://schemas.openxmlformats.org/officeDocument/2006/relationships/chart" Target="../charts/chart17.xml"/><Relationship Id="rId16" Type="http://schemas.openxmlformats.org/officeDocument/2006/relationships/chart" Target="../charts/chart16.xml"/><Relationship Id="rId19" Type="http://schemas.openxmlformats.org/officeDocument/2006/relationships/chart" Target="../charts/chart18.xml"/><Relationship Id="rId18" Type="http://schemas.openxmlformats.org/officeDocument/2006/relationships/image" Target="../media/Chart18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<Relationship Id="rId5" Type="http://schemas.openxmlformats.org/officeDocument/2006/relationships/chart" Target="../charts/chart2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Relationship Id="rId3" Type="http://schemas.openxmlformats.org/officeDocument/2006/relationships/chart" Target="../charts/chart29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0.xml"/><Relationship Id="rId2" Type="http://schemas.openxmlformats.org/officeDocument/2006/relationships/chart" Target="../charts/chart31.xml"/><Relationship Id="rId3" Type="http://schemas.openxmlformats.org/officeDocument/2006/relationships/chart" Target="../charts/chart32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Relationship Id="rId3" Type="http://schemas.openxmlformats.org/officeDocument/2006/relationships/chart" Target="../charts/chart3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36.xml"/><Relationship Id="rId2" Type="http://schemas.openxmlformats.org/officeDocument/2006/relationships/chart" Target="../charts/chart37.xml"/><Relationship Id="rId3" Type="http://schemas.openxmlformats.org/officeDocument/2006/relationships/chart" Target="../charts/chart38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9.xml"/><Relationship Id="rId2" Type="http://schemas.openxmlformats.org/officeDocument/2006/relationships/chart" Target="../charts/chart40.xml"/><Relationship Id="rId3" Type="http://schemas.openxmlformats.org/officeDocument/2006/relationships/chart" Target="../charts/chart41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42.xml"/><Relationship Id="rId2" Type="http://schemas.openxmlformats.org/officeDocument/2006/relationships/chart" Target="../charts/chart43.xml"/><Relationship Id="rId3" Type="http://schemas.openxmlformats.org/officeDocument/2006/relationships/chart" Target="../charts/chart44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45.xml"/><Relationship Id="rId2" Type="http://schemas.openxmlformats.org/officeDocument/2006/relationships/chart" Target="../charts/chart46.xml"/><Relationship Id="rId3" Type="http://schemas.openxmlformats.org/officeDocument/2006/relationships/chart" Target="../charts/chart47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48.xml"/><Relationship Id="rId2" Type="http://schemas.openxmlformats.org/officeDocument/2006/relationships/chart" Target="../charts/chart49.xml"/><Relationship Id="rId3" Type="http://schemas.openxmlformats.org/officeDocument/2006/relationships/chart" Target="../charts/chart50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51.xml"/><Relationship Id="rId2" Type="http://schemas.openxmlformats.org/officeDocument/2006/relationships/chart" Target="../charts/chart52.xml"/><Relationship Id="rId3" Type="http://schemas.openxmlformats.org/officeDocument/2006/relationships/chart" Target="../charts/chart53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54.xml"/><Relationship Id="rId2" Type="http://schemas.openxmlformats.org/officeDocument/2006/relationships/chart" Target="../charts/chart55.xml"/><Relationship Id="rId3" Type="http://schemas.openxmlformats.org/officeDocument/2006/relationships/chart" Target="../charts/chart56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57.xml"/><Relationship Id="rId2" Type="http://schemas.openxmlformats.org/officeDocument/2006/relationships/chart" Target="../charts/chart58.xml"/><Relationship Id="rId3" Type="http://schemas.openxmlformats.org/officeDocument/2006/relationships/chart" Target="../charts/chart59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60.xml"/><Relationship Id="rId2" Type="http://schemas.openxmlformats.org/officeDocument/2006/relationships/chart" Target="../charts/chart61.xml"/><Relationship Id="rId3" Type="http://schemas.openxmlformats.org/officeDocument/2006/relationships/chart" Target="../charts/chart62.xml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63.xml"/><Relationship Id="rId2" Type="http://schemas.openxmlformats.org/officeDocument/2006/relationships/chart" Target="../charts/chart64.xml"/><Relationship Id="rId3" Type="http://schemas.openxmlformats.org/officeDocument/2006/relationships/chart" Target="../charts/chart65.xml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chart" Target="../charts/chart66.xml"/><Relationship Id="rId2" Type="http://schemas.openxmlformats.org/officeDocument/2006/relationships/chart" Target="../charts/chart67.xml"/><Relationship Id="rId3" Type="http://schemas.openxmlformats.org/officeDocument/2006/relationships/chart" Target="../charts/chart68.xml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chart" Target="../charts/chart69.xml"/><Relationship Id="rId2" Type="http://schemas.openxmlformats.org/officeDocument/2006/relationships/chart" Target="../charts/chart70.xml"/><Relationship Id="rId3" Type="http://schemas.openxmlformats.org/officeDocument/2006/relationships/chart" Target="../charts/chart71.xml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chart" Target="../charts/chart72.xml"/><Relationship Id="rId2" Type="http://schemas.openxmlformats.org/officeDocument/2006/relationships/chart" Target="../charts/chart73.xml"/><Relationship Id="rId3" Type="http://schemas.openxmlformats.org/officeDocument/2006/relationships/chart" Target="../charts/chart7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22</xdr:col>
      <xdr:colOff>152400</xdr:colOff>
      <xdr:row>95</xdr:row>
      <xdr:rowOff>171450</xdr:rowOff>
    </xdr:from>
    <xdr:ext cx="4486275" cy="37623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22</xdr:col>
      <xdr:colOff>133350</xdr:colOff>
      <xdr:row>115</xdr:row>
      <xdr:rowOff>9525</xdr:rowOff>
    </xdr:from>
    <xdr:ext cx="4486275" cy="3695700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22</xdr:col>
      <xdr:colOff>152400</xdr:colOff>
      <xdr:row>133</xdr:row>
      <xdr:rowOff>161925</xdr:rowOff>
    </xdr:from>
    <xdr:ext cx="4486275" cy="37623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22</xdr:col>
      <xdr:colOff>152400</xdr:colOff>
      <xdr:row>152</xdr:row>
      <xdr:rowOff>180975</xdr:rowOff>
    </xdr:from>
    <xdr:ext cx="4486275" cy="37623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35</xdr:col>
      <xdr:colOff>180975</xdr:colOff>
      <xdr:row>95</xdr:row>
      <xdr:rowOff>171450</xdr:rowOff>
    </xdr:from>
    <xdr:ext cx="4486275" cy="3762375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35</xdr:col>
      <xdr:colOff>180975</xdr:colOff>
      <xdr:row>115</xdr:row>
      <xdr:rowOff>9525</xdr:rowOff>
    </xdr:from>
    <xdr:ext cx="4486275" cy="3695700"/>
    <xdr:graphicFrame>
      <xdr:nvGraphicFramePr>
        <xdr:cNvPr id="6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35</xdr:col>
      <xdr:colOff>171450</xdr:colOff>
      <xdr:row>133</xdr:row>
      <xdr:rowOff>161925</xdr:rowOff>
    </xdr:from>
    <xdr:ext cx="4486275" cy="3762375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35</xdr:col>
      <xdr:colOff>171450</xdr:colOff>
      <xdr:row>152</xdr:row>
      <xdr:rowOff>190500</xdr:rowOff>
    </xdr:from>
    <xdr:ext cx="4486275" cy="3762375"/>
    <xdr:graphicFrame>
      <xdr:nvGraphicFramePr>
        <xdr:cNvPr id="8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22</xdr:col>
      <xdr:colOff>152400</xdr:colOff>
      <xdr:row>77</xdr:row>
      <xdr:rowOff>19050</xdr:rowOff>
    </xdr:from>
    <xdr:ext cx="4486275" cy="3762375"/>
    <xdr:graphicFrame>
      <xdr:nvGraphicFramePr>
        <xdr:cNvPr id="9" name="Chart 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35</xdr:col>
      <xdr:colOff>190500</xdr:colOff>
      <xdr:row>77</xdr:row>
      <xdr:rowOff>19050</xdr:rowOff>
    </xdr:from>
    <xdr:ext cx="4486275" cy="3762375"/>
    <xdr:graphicFrame>
      <xdr:nvGraphicFramePr>
        <xdr:cNvPr id="10" name="Chart 1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22</xdr:col>
      <xdr:colOff>152400</xdr:colOff>
      <xdr:row>59</xdr:row>
      <xdr:rowOff>0</xdr:rowOff>
    </xdr:from>
    <xdr:ext cx="4486275" cy="3762375"/>
    <xdr:graphicFrame>
      <xdr:nvGraphicFramePr>
        <xdr:cNvPr id="11" name="Chart 1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35</xdr:col>
      <xdr:colOff>180975</xdr:colOff>
      <xdr:row>59</xdr:row>
      <xdr:rowOff>0</xdr:rowOff>
    </xdr:from>
    <xdr:ext cx="4486275" cy="3762375"/>
    <xdr:graphicFrame>
      <xdr:nvGraphicFramePr>
        <xdr:cNvPr id="12" name="Chart 1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8</xdr:col>
      <xdr:colOff>371475</xdr:colOff>
      <xdr:row>152</xdr:row>
      <xdr:rowOff>180975</xdr:rowOff>
    </xdr:from>
    <xdr:ext cx="4533900" cy="3762375"/>
    <xdr:graphicFrame>
      <xdr:nvGraphicFramePr>
        <xdr:cNvPr id="13" name="Chart 1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8</xdr:col>
      <xdr:colOff>371475</xdr:colOff>
      <xdr:row>133</xdr:row>
      <xdr:rowOff>161925</xdr:rowOff>
    </xdr:from>
    <xdr:ext cx="4533900" cy="3762375"/>
    <xdr:graphicFrame>
      <xdr:nvGraphicFramePr>
        <xdr:cNvPr id="14" name="Chart 1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  <xdr:oneCellAnchor>
    <xdr:from>
      <xdr:col>8</xdr:col>
      <xdr:colOff>371475</xdr:colOff>
      <xdr:row>115</xdr:row>
      <xdr:rowOff>9525</xdr:rowOff>
    </xdr:from>
    <xdr:ext cx="4533900" cy="3695700"/>
    <xdr:graphicFrame>
      <xdr:nvGraphicFramePr>
        <xdr:cNvPr id="15" name="Chart 1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 fLocksWithSheet="0"/>
  </xdr:oneCellAnchor>
  <xdr:oneCellAnchor>
    <xdr:from>
      <xdr:col>8</xdr:col>
      <xdr:colOff>371475</xdr:colOff>
      <xdr:row>95</xdr:row>
      <xdr:rowOff>171450</xdr:rowOff>
    </xdr:from>
    <xdr:ext cx="4533900" cy="3762375"/>
    <xdr:graphicFrame>
      <xdr:nvGraphicFramePr>
        <xdr:cNvPr id="16" name="Chart 1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 fLocksWithSheet="0"/>
  </xdr:oneCellAnchor>
  <xdr:oneCellAnchor>
    <xdr:from>
      <xdr:col>8</xdr:col>
      <xdr:colOff>371475</xdr:colOff>
      <xdr:row>77</xdr:row>
      <xdr:rowOff>19050</xdr:rowOff>
    </xdr:from>
    <xdr:ext cx="4533900" cy="3762375"/>
    <xdr:graphicFrame>
      <xdr:nvGraphicFramePr>
        <xdr:cNvPr id="17" name="Chart 1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 fLocksWithSheet="0"/>
  </xdr:oneCellAnchor>
  <xdr:oneCellAnchor>
    <xdr:from>
      <xdr:col>8</xdr:col>
      <xdr:colOff>371475</xdr:colOff>
      <xdr:row>59</xdr:row>
      <xdr:rowOff>0</xdr:rowOff>
    </xdr:from>
    <xdr:ext cx="4533900" cy="3762375"/>
    <xdr:pic>
      <xdr:nvPicPr>
        <xdr:cNvPr id="967231484" name="Chart18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238125</xdr:colOff>
      <xdr:row>40</xdr:row>
      <xdr:rowOff>0</xdr:rowOff>
    </xdr:from>
    <xdr:ext cx="4486275" cy="3762375"/>
    <xdr:graphicFrame>
      <xdr:nvGraphicFramePr>
        <xdr:cNvPr id="19" name="Chart 1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 fLocksWithSheet="0"/>
  </xdr:oneCellAnchor>
  <xdr:oneCellAnchor>
    <xdr:from>
      <xdr:col>22</xdr:col>
      <xdr:colOff>209550</xdr:colOff>
      <xdr:row>40</xdr:row>
      <xdr:rowOff>0</xdr:rowOff>
    </xdr:from>
    <xdr:ext cx="4486275" cy="3762375"/>
    <xdr:pic>
      <xdr:nvPicPr>
        <xdr:cNvPr id="828294740" name="Chart20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40</xdr:row>
      <xdr:rowOff>0</xdr:rowOff>
    </xdr:from>
    <xdr:ext cx="4533900" cy="3762375"/>
    <xdr:pic>
      <xdr:nvPicPr>
        <xdr:cNvPr id="14155645" name="Chart2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371475</xdr:colOff>
      <xdr:row>21</xdr:row>
      <xdr:rowOff>0</xdr:rowOff>
    </xdr:from>
    <xdr:ext cx="4533900" cy="3762375"/>
    <xdr:pic>
      <xdr:nvPicPr>
        <xdr:cNvPr id="1056224821" name="Chart2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152400</xdr:colOff>
      <xdr:row>21</xdr:row>
      <xdr:rowOff>0</xdr:rowOff>
    </xdr:from>
    <xdr:ext cx="4486275" cy="3762375"/>
    <xdr:pic>
      <xdr:nvPicPr>
        <xdr:cNvPr id="1204669065" name="Chart2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238125</xdr:colOff>
      <xdr:row>21</xdr:row>
      <xdr:rowOff>0</xdr:rowOff>
    </xdr:from>
    <xdr:ext cx="4486275" cy="3762375"/>
    <xdr:graphicFrame>
      <xdr:nvGraphicFramePr>
        <xdr:cNvPr id="24" name="Chart 2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 fLocksWithSheet="0"/>
  </xdr:oneCellAnchor>
  <xdr:oneCellAnchor>
    <xdr:from>
      <xdr:col>8</xdr:col>
      <xdr:colOff>371475</xdr:colOff>
      <xdr:row>1</xdr:row>
      <xdr:rowOff>200025</xdr:rowOff>
    </xdr:from>
    <xdr:ext cx="4533900" cy="3762375"/>
    <xdr:pic>
      <xdr:nvPicPr>
        <xdr:cNvPr id="2140760641" name="Chart25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152400</xdr:colOff>
      <xdr:row>1</xdr:row>
      <xdr:rowOff>200025</xdr:rowOff>
    </xdr:from>
    <xdr:ext cx="4486275" cy="3762375"/>
    <xdr:pic>
      <xdr:nvPicPr>
        <xdr:cNvPr id="324785420" name="Chart26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228600</xdr:colOff>
      <xdr:row>1</xdr:row>
      <xdr:rowOff>200025</xdr:rowOff>
    </xdr:from>
    <xdr:ext cx="4486275" cy="3762375"/>
    <xdr:graphicFrame>
      <xdr:nvGraphicFramePr>
        <xdr:cNvPr id="27" name="Chart 2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11</xdr:row>
      <xdr:rowOff>180975</xdr:rowOff>
    </xdr:from>
    <xdr:ext cx="15411450" cy="2085975"/>
    <xdr:graphicFrame>
      <xdr:nvGraphicFramePr>
        <xdr:cNvPr id="28" name="Chart 2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0</xdr:colOff>
      <xdr:row>22</xdr:row>
      <xdr:rowOff>171450</xdr:rowOff>
    </xdr:from>
    <xdr:ext cx="15411450" cy="2638425"/>
    <xdr:graphicFrame>
      <xdr:nvGraphicFramePr>
        <xdr:cNvPr id="29" name="Chart 2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36</xdr:row>
      <xdr:rowOff>142875</xdr:rowOff>
    </xdr:from>
    <xdr:ext cx="15411450" cy="2590800"/>
    <xdr:graphicFrame>
      <xdr:nvGraphicFramePr>
        <xdr:cNvPr id="30" name="Chart 3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</xdr:col>
      <xdr:colOff>0</xdr:colOff>
      <xdr:row>50</xdr:row>
      <xdr:rowOff>76200</xdr:rowOff>
    </xdr:from>
    <xdr:ext cx="15411450" cy="2590800"/>
    <xdr:graphicFrame>
      <xdr:nvGraphicFramePr>
        <xdr:cNvPr id="31" name="Chart 3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</xdr:col>
      <xdr:colOff>0</xdr:colOff>
      <xdr:row>63</xdr:row>
      <xdr:rowOff>190500</xdr:rowOff>
    </xdr:from>
    <xdr:ext cx="15411450" cy="2590800"/>
    <xdr:graphicFrame>
      <xdr:nvGraphicFramePr>
        <xdr:cNvPr id="32" name="Chart 3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0</xdr:row>
      <xdr:rowOff>0</xdr:rowOff>
    </xdr:from>
    <xdr:ext cx="4800600" cy="2962275"/>
    <xdr:graphicFrame>
      <xdr:nvGraphicFramePr>
        <xdr:cNvPr id="33" name="Chart 3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304800</xdr:colOff>
      <xdr:row>0</xdr:row>
      <xdr:rowOff>0</xdr:rowOff>
    </xdr:from>
    <xdr:ext cx="4086225" cy="2524125"/>
    <xdr:graphicFrame>
      <xdr:nvGraphicFramePr>
        <xdr:cNvPr id="34" name="Chart 3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228600</xdr:colOff>
      <xdr:row>0</xdr:row>
      <xdr:rowOff>0</xdr:rowOff>
    </xdr:from>
    <xdr:ext cx="4086225" cy="2524125"/>
    <xdr:graphicFrame>
      <xdr:nvGraphicFramePr>
        <xdr:cNvPr id="35" name="Chart 3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8</xdr:col>
      <xdr:colOff>304800</xdr:colOff>
      <xdr:row>10</xdr:row>
      <xdr:rowOff>114300</xdr:rowOff>
    </xdr:from>
    <xdr:ext cx="4086225" cy="2524125"/>
    <xdr:graphicFrame>
      <xdr:nvGraphicFramePr>
        <xdr:cNvPr id="36" name="Chart 3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19050</xdr:rowOff>
    </xdr:from>
    <xdr:ext cx="4295775" cy="2657475"/>
    <xdr:graphicFrame>
      <xdr:nvGraphicFramePr>
        <xdr:cNvPr id="37" name="Chart 3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>
      <xdr:nvGraphicFramePr>
        <xdr:cNvPr id="38" name="Chart 3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0</xdr:colOff>
      <xdr:row>15</xdr:row>
      <xdr:rowOff>66675</xdr:rowOff>
    </xdr:from>
    <xdr:ext cx="4295775" cy="2657475"/>
    <xdr:graphicFrame>
      <xdr:nvGraphicFramePr>
        <xdr:cNvPr id="39" name="Chart 3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19050</xdr:rowOff>
    </xdr:from>
    <xdr:ext cx="4295775" cy="2657475"/>
    <xdr:graphicFrame>
      <xdr:nvGraphicFramePr>
        <xdr:cNvPr id="40" name="Chart 4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>
      <xdr:nvGraphicFramePr>
        <xdr:cNvPr id="41" name="Chart 4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>
      <xdr:nvGraphicFramePr>
        <xdr:cNvPr id="42" name="Chart 4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19050</xdr:rowOff>
    </xdr:from>
    <xdr:ext cx="4295775" cy="2657475"/>
    <xdr:graphicFrame>
      <xdr:nvGraphicFramePr>
        <xdr:cNvPr id="43" name="Chart 4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>
      <xdr:nvGraphicFramePr>
        <xdr:cNvPr id="44" name="Chart 4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>
      <xdr:nvGraphicFramePr>
        <xdr:cNvPr id="45" name="Chart 4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19050</xdr:rowOff>
    </xdr:from>
    <xdr:ext cx="5229225" cy="2657475"/>
    <xdr:graphicFrame>
      <xdr:nvGraphicFramePr>
        <xdr:cNvPr id="46" name="Chart 4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0</xdr:colOff>
      <xdr:row>11</xdr:row>
      <xdr:rowOff>190500</xdr:rowOff>
    </xdr:from>
    <xdr:ext cx="5229225" cy="2657475"/>
    <xdr:graphicFrame>
      <xdr:nvGraphicFramePr>
        <xdr:cNvPr id="47" name="Chart 4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0</xdr:colOff>
      <xdr:row>25</xdr:row>
      <xdr:rowOff>47625</xdr:rowOff>
    </xdr:from>
    <xdr:ext cx="5229225" cy="2657475"/>
    <xdr:graphicFrame>
      <xdr:nvGraphicFramePr>
        <xdr:cNvPr id="48" name="Chart 4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19050</xdr:rowOff>
    </xdr:from>
    <xdr:ext cx="4762500" cy="2657475"/>
    <xdr:graphicFrame>
      <xdr:nvGraphicFramePr>
        <xdr:cNvPr id="49" name="Chart 4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0</xdr:colOff>
      <xdr:row>11</xdr:row>
      <xdr:rowOff>190500</xdr:rowOff>
    </xdr:from>
    <xdr:ext cx="4295775" cy="2657475"/>
    <xdr:graphicFrame>
      <xdr:nvGraphicFramePr>
        <xdr:cNvPr id="50" name="Chart 5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0</xdr:colOff>
      <xdr:row>26</xdr:row>
      <xdr:rowOff>57150</xdr:rowOff>
    </xdr:from>
    <xdr:ext cx="4295775" cy="2657475"/>
    <xdr:graphicFrame>
      <xdr:nvGraphicFramePr>
        <xdr:cNvPr id="51" name="Chart 5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19050</xdr:rowOff>
    </xdr:from>
    <xdr:ext cx="4543425" cy="2657475"/>
    <xdr:graphicFrame>
      <xdr:nvGraphicFramePr>
        <xdr:cNvPr id="52" name="Chart 5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742950</xdr:colOff>
      <xdr:row>0</xdr:row>
      <xdr:rowOff>0</xdr:rowOff>
    </xdr:from>
    <xdr:ext cx="4295775" cy="2657475"/>
    <xdr:graphicFrame>
      <xdr:nvGraphicFramePr>
        <xdr:cNvPr id="53" name="Chart 5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>
      <xdr:nvGraphicFramePr>
        <xdr:cNvPr id="54" name="Chart 5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19050</xdr:rowOff>
    </xdr:from>
    <xdr:ext cx="4295775" cy="2657475"/>
    <xdr:graphicFrame>
      <xdr:nvGraphicFramePr>
        <xdr:cNvPr id="55" name="Chart 5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>
      <xdr:nvGraphicFramePr>
        <xdr:cNvPr id="56" name="Chart 5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>
      <xdr:nvGraphicFramePr>
        <xdr:cNvPr id="57" name="Chart 5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200025</xdr:colOff>
      <xdr:row>0</xdr:row>
      <xdr:rowOff>19050</xdr:rowOff>
    </xdr:from>
    <xdr:ext cx="4295775" cy="2657475"/>
    <xdr:graphicFrame>
      <xdr:nvGraphicFramePr>
        <xdr:cNvPr id="58" name="Chart 5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>
      <xdr:nvGraphicFramePr>
        <xdr:cNvPr id="59" name="Chart 5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>
      <xdr:nvGraphicFramePr>
        <xdr:cNvPr id="60" name="Chart 6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200025</xdr:colOff>
      <xdr:row>0</xdr:row>
      <xdr:rowOff>19050</xdr:rowOff>
    </xdr:from>
    <xdr:ext cx="4295775" cy="2657475"/>
    <xdr:graphicFrame>
      <xdr:nvGraphicFramePr>
        <xdr:cNvPr id="61" name="Chart 6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>
      <xdr:nvGraphicFramePr>
        <xdr:cNvPr id="62" name="Chart 6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>
      <xdr:nvGraphicFramePr>
        <xdr:cNvPr id="63" name="Chart 6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200025</xdr:colOff>
      <xdr:row>0</xdr:row>
      <xdr:rowOff>19050</xdr:rowOff>
    </xdr:from>
    <xdr:ext cx="4295775" cy="2657475"/>
    <xdr:graphicFrame>
      <xdr:nvGraphicFramePr>
        <xdr:cNvPr id="64" name="Chart 6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>
      <xdr:nvGraphicFramePr>
        <xdr:cNvPr id="65" name="Chart 6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>
      <xdr:nvGraphicFramePr>
        <xdr:cNvPr id="66" name="Chart 6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200025</xdr:colOff>
      <xdr:row>0</xdr:row>
      <xdr:rowOff>19050</xdr:rowOff>
    </xdr:from>
    <xdr:ext cx="4295775" cy="2657475"/>
    <xdr:graphicFrame>
      <xdr:nvGraphicFramePr>
        <xdr:cNvPr id="67" name="Chart 6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>
      <xdr:nvGraphicFramePr>
        <xdr:cNvPr id="68" name="Chart 6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152400</xdr:rowOff>
    </xdr:from>
    <xdr:ext cx="4295775" cy="2657475"/>
    <xdr:graphicFrame>
      <xdr:nvGraphicFramePr>
        <xdr:cNvPr id="69" name="Chart 6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200025</xdr:colOff>
      <xdr:row>0</xdr:row>
      <xdr:rowOff>19050</xdr:rowOff>
    </xdr:from>
    <xdr:ext cx="4295775" cy="2657475"/>
    <xdr:graphicFrame>
      <xdr:nvGraphicFramePr>
        <xdr:cNvPr id="70" name="Chart 7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>
      <xdr:nvGraphicFramePr>
        <xdr:cNvPr id="71" name="Chart 7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152400</xdr:rowOff>
    </xdr:from>
    <xdr:ext cx="4295775" cy="2657475"/>
    <xdr:graphicFrame>
      <xdr:nvGraphicFramePr>
        <xdr:cNvPr id="72" name="Chart 7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200025</xdr:colOff>
      <xdr:row>0</xdr:row>
      <xdr:rowOff>19050</xdr:rowOff>
    </xdr:from>
    <xdr:ext cx="4295775" cy="2657475"/>
    <xdr:graphicFrame>
      <xdr:nvGraphicFramePr>
        <xdr:cNvPr id="73" name="Chart 7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>
      <xdr:nvGraphicFramePr>
        <xdr:cNvPr id="74" name="Chart 7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>
      <xdr:nvGraphicFramePr>
        <xdr:cNvPr id="75" name="Chart 7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200025</xdr:colOff>
      <xdr:row>0</xdr:row>
      <xdr:rowOff>19050</xdr:rowOff>
    </xdr:from>
    <xdr:ext cx="4295775" cy="2657475"/>
    <xdr:graphicFrame>
      <xdr:nvGraphicFramePr>
        <xdr:cNvPr id="76" name="Chart 7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>
      <xdr:nvGraphicFramePr>
        <xdr:cNvPr id="77" name="Chart 7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>
      <xdr:nvGraphicFramePr>
        <xdr:cNvPr id="78" name="Chart 7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200025</xdr:colOff>
      <xdr:row>0</xdr:row>
      <xdr:rowOff>19050</xdr:rowOff>
    </xdr:from>
    <xdr:ext cx="4295775" cy="2657475"/>
    <xdr:graphicFrame>
      <xdr:nvGraphicFramePr>
        <xdr:cNvPr id="79" name="Chart 7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>
      <xdr:nvGraphicFramePr>
        <xdr:cNvPr id="80" name="Chart 8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>
      <xdr:nvGraphicFramePr>
        <xdr:cNvPr id="81" name="Chart 8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2" max="2" width="17.25"/>
    <col customWidth="1" min="3" max="3" width="5.38"/>
    <col customWidth="1" min="4" max="4" width="0.38"/>
    <col customWidth="1" min="5" max="5" width="6.5"/>
    <col customWidth="1" min="6" max="6" width="5.75"/>
    <col customWidth="1" min="7" max="7" width="4.38"/>
    <col customWidth="1" min="8" max="8" width="6.5"/>
    <col customWidth="1" min="9" max="9" width="5.0"/>
    <col customWidth="1" min="10" max="10" width="5.25"/>
    <col customWidth="1" min="11" max="11" width="3.0"/>
    <col customWidth="1" min="12" max="12" width="5.5"/>
    <col customWidth="1" min="13" max="13" width="3.0"/>
    <col customWidth="1" min="14" max="14" width="4.75"/>
    <col customWidth="1" min="15" max="15" width="3.0"/>
    <col customWidth="1" min="16" max="16" width="5.5"/>
    <col customWidth="1" min="17" max="17" width="3.0"/>
    <col customWidth="1" min="18" max="18" width="5.25"/>
    <col customWidth="1" min="19" max="19" width="5.38"/>
    <col customWidth="1" min="20" max="20" width="5.0"/>
    <col customWidth="1" min="21" max="21" width="4.5"/>
    <col customWidth="1" min="22" max="23" width="4.13"/>
    <col customWidth="1" min="24" max="24" width="4.75"/>
    <col customWidth="1" min="25" max="25" width="5.63"/>
    <col customWidth="1" min="26" max="26" width="5.13"/>
    <col customWidth="1" min="27" max="27" width="4.38"/>
    <col customWidth="1" min="28" max="28" width="4.75"/>
    <col customWidth="1" min="29" max="29" width="5.38"/>
    <col customWidth="1" min="30" max="30" width="4.0"/>
    <col customWidth="1" min="31" max="32" width="4.38"/>
    <col customWidth="1" min="33" max="33" width="4.5"/>
    <col customWidth="1" min="34" max="34" width="3.63"/>
    <col customWidth="1" min="35" max="36" width="3.5"/>
    <col customWidth="1" min="37" max="58" width="4.25"/>
  </cols>
  <sheetData>
    <row r="1">
      <c r="C1" s="1"/>
      <c r="D1" s="1"/>
      <c r="E1" s="2" t="s">
        <v>0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</row>
    <row r="2">
      <c r="C2" s="1"/>
      <c r="D2" s="1"/>
      <c r="E2" s="2" t="s">
        <v>1</v>
      </c>
      <c r="G2" s="2"/>
      <c r="H2" s="3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>
      <c r="A3" s="4"/>
      <c r="B3" s="4" t="s">
        <v>3</v>
      </c>
      <c r="C3" s="5" t="s">
        <v>4</v>
      </c>
      <c r="D3" s="5"/>
      <c r="E3" s="6" t="s">
        <v>5</v>
      </c>
      <c r="F3" s="6" t="s">
        <v>6</v>
      </c>
      <c r="G3" s="6" t="s">
        <v>7</v>
      </c>
      <c r="H3" s="7" t="s">
        <v>8</v>
      </c>
      <c r="I3" s="6" t="s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</row>
    <row r="4">
      <c r="A4" s="4" t="s">
        <v>10</v>
      </c>
      <c r="B4" s="4" t="s">
        <v>11</v>
      </c>
      <c r="C4" s="8">
        <v>37.0</v>
      </c>
      <c r="D4" s="8" t="str">
        <f t="shared" ref="D4:D19" si="1">Concatenate(B4,"(",C4,")")</f>
        <v>Lengua(37)</v>
      </c>
      <c r="E4" s="9">
        <v>0.7027</v>
      </c>
      <c r="F4" s="10">
        <v>5.37</v>
      </c>
      <c r="G4" s="10">
        <v>7.16</v>
      </c>
      <c r="H4" s="9">
        <v>0.8326</v>
      </c>
      <c r="I4" s="10">
        <v>6.5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</row>
    <row r="5">
      <c r="A5" s="4" t="s">
        <v>10</v>
      </c>
      <c r="B5" s="4" t="s">
        <v>12</v>
      </c>
      <c r="C5" s="8">
        <v>37.0</v>
      </c>
      <c r="D5" s="8" t="str">
        <f t="shared" si="1"/>
        <v>Inglés(37)</v>
      </c>
      <c r="E5" s="9">
        <v>0.8378</v>
      </c>
      <c r="F5" s="10">
        <v>7.01</v>
      </c>
      <c r="G5" s="10">
        <v>7.0</v>
      </c>
      <c r="H5" s="9">
        <v>0.8447</v>
      </c>
      <c r="I5" s="10">
        <v>7.15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</row>
    <row r="6">
      <c r="A6" s="4" t="s">
        <v>10</v>
      </c>
      <c r="B6" s="4" t="s">
        <v>13</v>
      </c>
      <c r="C6" s="11">
        <v>9.0</v>
      </c>
      <c r="D6" s="8" t="str">
        <f t="shared" si="1"/>
        <v>Historia(9)</v>
      </c>
      <c r="E6" s="9">
        <v>0.6667</v>
      </c>
      <c r="F6" s="10">
        <v>5.89</v>
      </c>
      <c r="G6" s="10">
        <v>6.59</v>
      </c>
      <c r="H6" s="9">
        <v>0.8244</v>
      </c>
      <c r="I6" s="10">
        <v>6.91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</row>
    <row r="7">
      <c r="A7" s="4" t="s">
        <v>10</v>
      </c>
      <c r="B7" s="4" t="s">
        <v>14</v>
      </c>
      <c r="C7" s="8">
        <v>30.0</v>
      </c>
      <c r="D7" s="8" t="str">
        <f t="shared" si="1"/>
        <v>Mate(30)</v>
      </c>
      <c r="E7" s="9">
        <v>0.6333</v>
      </c>
      <c r="F7" s="10">
        <v>5.19</v>
      </c>
      <c r="G7" s="10">
        <v>7.0</v>
      </c>
      <c r="H7" s="9">
        <v>0.5941</v>
      </c>
      <c r="I7" s="10">
        <v>5.47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</row>
    <row r="8">
      <c r="A8" s="4" t="s">
        <v>10</v>
      </c>
      <c r="B8" s="4" t="s">
        <v>15</v>
      </c>
      <c r="C8" s="8">
        <v>7.0</v>
      </c>
      <c r="D8" s="8" t="str">
        <f t="shared" si="1"/>
        <v>Mate CCSS(7)</v>
      </c>
      <c r="E8" s="9">
        <v>1.0</v>
      </c>
      <c r="F8" s="10">
        <v>6.36</v>
      </c>
      <c r="G8" s="10">
        <v>6.43</v>
      </c>
      <c r="H8" s="9">
        <v>0.5923</v>
      </c>
      <c r="I8" s="10">
        <v>5.22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</row>
    <row r="9">
      <c r="A9" s="4" t="s">
        <v>10</v>
      </c>
      <c r="B9" s="4" t="s">
        <v>16</v>
      </c>
      <c r="C9" s="8">
        <v>20.0</v>
      </c>
      <c r="D9" s="8" t="str">
        <f t="shared" si="1"/>
        <v>Física(20)</v>
      </c>
      <c r="E9" s="9">
        <v>0.3</v>
      </c>
      <c r="F9" s="10">
        <v>4.43</v>
      </c>
      <c r="G9" s="10">
        <v>6.65</v>
      </c>
      <c r="H9" s="9">
        <v>0.5504</v>
      </c>
      <c r="I9" s="10">
        <v>5.3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</row>
    <row r="10">
      <c r="A10" s="4" t="s">
        <v>10</v>
      </c>
      <c r="B10" s="4" t="s">
        <v>17</v>
      </c>
      <c r="C10" s="8">
        <v>15.0</v>
      </c>
      <c r="D10" s="8" t="str">
        <f t="shared" si="1"/>
        <v>Química(15)</v>
      </c>
      <c r="E10" s="9">
        <v>0.8667</v>
      </c>
      <c r="F10" s="10">
        <v>6.68</v>
      </c>
      <c r="G10" s="10">
        <v>7.05</v>
      </c>
      <c r="H10" s="9">
        <v>0.7366</v>
      </c>
      <c r="I10" s="10">
        <v>6.11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</row>
    <row r="11">
      <c r="A11" s="4" t="s">
        <v>10</v>
      </c>
      <c r="B11" s="4" t="s">
        <v>18</v>
      </c>
      <c r="C11" s="8">
        <v>11.0</v>
      </c>
      <c r="D11" s="8" t="str">
        <f t="shared" si="1"/>
        <v>Biología(11)</v>
      </c>
      <c r="E11" s="9">
        <v>0.5455</v>
      </c>
      <c r="F11" s="10">
        <v>5.0</v>
      </c>
      <c r="G11" s="10">
        <v>7.6</v>
      </c>
      <c r="H11" s="9">
        <v>0.6513</v>
      </c>
      <c r="I11" s="10">
        <v>5.64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</row>
    <row r="12">
      <c r="A12" s="4" t="s">
        <v>10</v>
      </c>
      <c r="B12" s="4" t="s">
        <v>19</v>
      </c>
      <c r="C12" s="8">
        <v>4.0</v>
      </c>
      <c r="D12" s="8" t="str">
        <f t="shared" si="1"/>
        <v>Dibujo Técnico(4)</v>
      </c>
      <c r="E12" s="9">
        <v>0.25</v>
      </c>
      <c r="F12" s="10">
        <v>3.31</v>
      </c>
      <c r="G12" s="10">
        <v>9.5</v>
      </c>
      <c r="H12" s="9">
        <v>0.6677</v>
      </c>
      <c r="I12" s="10">
        <v>5.79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</row>
    <row r="13">
      <c r="A13" s="4" t="s">
        <v>10</v>
      </c>
      <c r="B13" s="4" t="s">
        <v>20</v>
      </c>
      <c r="C13" s="8">
        <v>5.0</v>
      </c>
      <c r="D13" s="8" t="str">
        <f t="shared" si="1"/>
        <v>Economía(5)</v>
      </c>
      <c r="E13" s="9">
        <v>1.0</v>
      </c>
      <c r="F13" s="10">
        <v>6.1</v>
      </c>
      <c r="G13" s="10">
        <v>6.0</v>
      </c>
      <c r="H13" s="9">
        <v>0.7622</v>
      </c>
      <c r="I13" s="10">
        <v>6.22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</row>
    <row r="14">
      <c r="A14" s="4" t="s">
        <v>10</v>
      </c>
      <c r="B14" s="4" t="s">
        <v>21</v>
      </c>
      <c r="C14" s="11">
        <v>28.0</v>
      </c>
      <c r="D14" s="8" t="str">
        <f t="shared" si="1"/>
        <v>H. Filosofía(28)</v>
      </c>
      <c r="E14" s="9">
        <v>0.75</v>
      </c>
      <c r="F14" s="10">
        <v>6.36</v>
      </c>
      <c r="G14" s="10">
        <v>7.41</v>
      </c>
      <c r="H14" s="9">
        <v>0.7621</v>
      </c>
      <c r="I14" s="10">
        <v>6.43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</row>
    <row r="15">
      <c r="A15" s="4" t="s">
        <v>10</v>
      </c>
      <c r="B15" s="4" t="s">
        <v>22</v>
      </c>
      <c r="C15" s="8">
        <v>0.0</v>
      </c>
      <c r="D15" s="8" t="str">
        <f t="shared" si="1"/>
        <v>H. Arte(0)</v>
      </c>
      <c r="E15" s="9"/>
      <c r="F15" s="12"/>
      <c r="G15" s="10"/>
      <c r="H15" s="9">
        <v>0.6324</v>
      </c>
      <c r="I15" s="10">
        <v>5.58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</row>
    <row r="16">
      <c r="A16" s="4" t="s">
        <v>10</v>
      </c>
      <c r="B16" s="4" t="s">
        <v>23</v>
      </c>
      <c r="C16" s="8">
        <v>2.0</v>
      </c>
      <c r="D16" s="8" t="str">
        <f t="shared" si="1"/>
        <v>Geografía(2)</v>
      </c>
      <c r="E16" s="9">
        <v>0.5</v>
      </c>
      <c r="F16" s="10">
        <v>4.88</v>
      </c>
      <c r="G16" s="10">
        <v>7.14</v>
      </c>
      <c r="H16" s="9">
        <v>0.745</v>
      </c>
      <c r="I16" s="10">
        <v>6.23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</row>
    <row r="17">
      <c r="A17" s="4" t="s">
        <v>10</v>
      </c>
      <c r="B17" s="4" t="s">
        <v>24</v>
      </c>
      <c r="C17" s="8">
        <v>0.0</v>
      </c>
      <c r="D17" s="8" t="str">
        <f t="shared" si="1"/>
        <v>Tecno e Ing(0)</v>
      </c>
      <c r="E17" s="9"/>
      <c r="F17" s="12"/>
      <c r="G17" s="10">
        <v>7.73</v>
      </c>
      <c r="H17" s="9">
        <v>0.7068</v>
      </c>
      <c r="I17" s="10">
        <v>6.107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</row>
    <row r="18">
      <c r="A18" s="4" t="s">
        <v>10</v>
      </c>
      <c r="B18" s="4" t="s">
        <v>25</v>
      </c>
      <c r="C18" s="13">
        <v>37.0</v>
      </c>
      <c r="D18" s="8" t="str">
        <f t="shared" si="1"/>
        <v>Fase General(37)</v>
      </c>
      <c r="E18" s="9">
        <v>0.973</v>
      </c>
      <c r="F18" s="14">
        <v>6.01</v>
      </c>
      <c r="G18" s="14">
        <f>(C4*G4+C5*G5+C6*G6+C7*G7+C8*G8+C14*G14)/(C4+C5+C6+C7+C8+C14)</f>
        <v>7.065675676</v>
      </c>
      <c r="H18" s="9"/>
      <c r="I18" s="14">
        <v>6.437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</row>
    <row r="19">
      <c r="A19" s="4" t="s">
        <v>10</v>
      </c>
      <c r="B19" s="4" t="s">
        <v>26</v>
      </c>
      <c r="C19" s="13">
        <v>52.0</v>
      </c>
      <c r="D19" s="8" t="str">
        <f t="shared" si="1"/>
        <v>Titulan(52)</v>
      </c>
      <c r="E19" s="9">
        <v>0.7115</v>
      </c>
      <c r="F19" s="14"/>
      <c r="G19" s="14"/>
      <c r="H19" s="9"/>
      <c r="I19" s="14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</row>
    <row r="20">
      <c r="C20" s="1"/>
      <c r="D20" s="1"/>
      <c r="E20" s="2" t="s">
        <v>27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</row>
    <row r="21">
      <c r="C21" s="1"/>
      <c r="D21" s="1"/>
      <c r="E21" s="2" t="s">
        <v>1</v>
      </c>
      <c r="G21" s="2"/>
      <c r="H21" s="3" t="s">
        <v>2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</row>
    <row r="22">
      <c r="A22" s="4"/>
      <c r="B22" s="4" t="s">
        <v>3</v>
      </c>
      <c r="C22" s="5" t="s">
        <v>4</v>
      </c>
      <c r="D22" s="5"/>
      <c r="E22" s="6" t="s">
        <v>5</v>
      </c>
      <c r="F22" s="6" t="s">
        <v>6</v>
      </c>
      <c r="G22" s="6" t="s">
        <v>7</v>
      </c>
      <c r="H22" s="7" t="s">
        <v>8</v>
      </c>
      <c r="I22" s="6" t="s">
        <v>9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</row>
    <row r="23">
      <c r="A23" s="4" t="s">
        <v>28</v>
      </c>
      <c r="B23" s="4" t="s">
        <v>11</v>
      </c>
      <c r="C23" s="8">
        <v>44.0</v>
      </c>
      <c r="D23" s="8" t="str">
        <f t="shared" ref="D23:D38" si="2">Concatenate(B23,"(",C23,")")</f>
        <v>Lengua(44)</v>
      </c>
      <c r="E23" s="9">
        <v>0.7333</v>
      </c>
      <c r="F23" s="10">
        <v>5.66</v>
      </c>
      <c r="G23" s="10">
        <v>6.73</v>
      </c>
      <c r="H23" s="9">
        <v>0.8821</v>
      </c>
      <c r="I23" s="10">
        <v>6.86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</row>
    <row r="24">
      <c r="A24" s="4" t="s">
        <v>28</v>
      </c>
      <c r="B24" s="4" t="s">
        <v>12</v>
      </c>
      <c r="C24" s="8">
        <v>44.0</v>
      </c>
      <c r="D24" s="8" t="str">
        <f t="shared" si="2"/>
        <v>Inglés(44)</v>
      </c>
      <c r="E24" s="9">
        <v>0.6444</v>
      </c>
      <c r="F24" s="10">
        <v>5.85</v>
      </c>
      <c r="G24" s="10">
        <v>7.0</v>
      </c>
      <c r="H24" s="9">
        <v>0.8231</v>
      </c>
      <c r="I24" s="10">
        <v>6.84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</row>
    <row r="25">
      <c r="A25" s="4" t="s">
        <v>28</v>
      </c>
      <c r="B25" s="4" t="s">
        <v>13</v>
      </c>
      <c r="C25" s="11">
        <v>18.0</v>
      </c>
      <c r="D25" s="8" t="str">
        <f t="shared" si="2"/>
        <v>Historia(18)</v>
      </c>
      <c r="E25" s="9">
        <v>0.5789</v>
      </c>
      <c r="F25" s="4">
        <v>5.55</v>
      </c>
      <c r="G25" s="10">
        <v>6.92</v>
      </c>
      <c r="H25" s="9">
        <v>0.7864</v>
      </c>
      <c r="I25" s="10">
        <v>6.68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</row>
    <row r="26">
      <c r="A26" s="4" t="s">
        <v>28</v>
      </c>
      <c r="B26" s="4" t="s">
        <v>14</v>
      </c>
      <c r="C26" s="8">
        <v>35.0</v>
      </c>
      <c r="D26" s="8" t="str">
        <f t="shared" si="2"/>
        <v>Mate(35)</v>
      </c>
      <c r="E26" s="9">
        <v>0.6944</v>
      </c>
      <c r="F26" s="10">
        <v>5.87</v>
      </c>
      <c r="G26" s="10">
        <v>6.62</v>
      </c>
      <c r="H26" s="9">
        <v>0.6822</v>
      </c>
      <c r="I26" s="10">
        <v>5.8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</row>
    <row r="27">
      <c r="A27" s="4" t="s">
        <v>28</v>
      </c>
      <c r="B27" s="4" t="s">
        <v>15</v>
      </c>
      <c r="C27" s="8">
        <v>9.0</v>
      </c>
      <c r="D27" s="8" t="str">
        <f t="shared" si="2"/>
        <v>Mate CCSS(9)</v>
      </c>
      <c r="E27" s="9">
        <v>1.0</v>
      </c>
      <c r="F27" s="10">
        <v>7.04</v>
      </c>
      <c r="G27" s="10">
        <v>6.11</v>
      </c>
      <c r="H27" s="9">
        <v>0.7939</v>
      </c>
      <c r="I27" s="10">
        <v>6.72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</row>
    <row r="28">
      <c r="A28" s="4" t="s">
        <v>28</v>
      </c>
      <c r="B28" s="4" t="s">
        <v>16</v>
      </c>
      <c r="C28" s="8">
        <v>26.0</v>
      </c>
      <c r="D28" s="8" t="str">
        <f t="shared" si="2"/>
        <v>Física(26)</v>
      </c>
      <c r="E28" s="9">
        <v>0.8148</v>
      </c>
      <c r="F28" s="4">
        <v>6.21</v>
      </c>
      <c r="G28" s="10">
        <v>7.0</v>
      </c>
      <c r="H28" s="9">
        <v>0.7849</v>
      </c>
      <c r="I28" s="10">
        <v>6.45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</row>
    <row r="29">
      <c r="A29" s="4" t="s">
        <v>28</v>
      </c>
      <c r="B29" s="4" t="s">
        <v>17</v>
      </c>
      <c r="C29" s="8">
        <v>28.0</v>
      </c>
      <c r="D29" s="8" t="str">
        <f t="shared" si="2"/>
        <v>Química(28)</v>
      </c>
      <c r="E29" s="9">
        <v>0.7857</v>
      </c>
      <c r="F29" s="4">
        <v>6.1</v>
      </c>
      <c r="G29" s="10">
        <v>7.46</v>
      </c>
      <c r="H29" s="9">
        <v>0.7797</v>
      </c>
      <c r="I29" s="10">
        <v>6.48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</row>
    <row r="30">
      <c r="A30" s="4" t="s">
        <v>28</v>
      </c>
      <c r="B30" s="4" t="s">
        <v>18</v>
      </c>
      <c r="C30" s="8">
        <v>10.0</v>
      </c>
      <c r="D30" s="8" t="str">
        <f t="shared" si="2"/>
        <v>Biología(10)</v>
      </c>
      <c r="E30" s="9">
        <v>0.6364</v>
      </c>
      <c r="F30" s="4">
        <v>5.75</v>
      </c>
      <c r="G30" s="10">
        <v>7.5</v>
      </c>
      <c r="H30" s="9">
        <v>0.7699</v>
      </c>
      <c r="I30" s="10">
        <v>6.29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</row>
    <row r="31">
      <c r="A31" s="4" t="s">
        <v>28</v>
      </c>
      <c r="B31" s="4" t="s">
        <v>19</v>
      </c>
      <c r="C31" s="8">
        <v>2.0</v>
      </c>
      <c r="D31" s="8" t="str">
        <f t="shared" si="2"/>
        <v>Dibujo Técnico(2)</v>
      </c>
      <c r="E31" s="9">
        <v>0.5</v>
      </c>
      <c r="F31" s="4">
        <v>5.88</v>
      </c>
      <c r="G31" s="10">
        <v>8.08</v>
      </c>
      <c r="H31" s="9">
        <v>0.848</v>
      </c>
      <c r="I31" s="10">
        <v>7.08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</row>
    <row r="32">
      <c r="A32" s="4" t="s">
        <v>28</v>
      </c>
      <c r="B32" s="4" t="s">
        <v>20</v>
      </c>
      <c r="C32" s="8">
        <v>8.0</v>
      </c>
      <c r="D32" s="8" t="str">
        <f t="shared" si="2"/>
        <v>Economía(8)</v>
      </c>
      <c r="E32" s="9">
        <v>0.75</v>
      </c>
      <c r="F32" s="4">
        <v>5.94</v>
      </c>
      <c r="G32" s="10">
        <v>6.56</v>
      </c>
      <c r="H32" s="9">
        <v>0.7947</v>
      </c>
      <c r="I32" s="10">
        <v>6.6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</row>
    <row r="33">
      <c r="A33" s="4" t="s">
        <v>28</v>
      </c>
      <c r="B33" s="4" t="s">
        <v>21</v>
      </c>
      <c r="C33" s="11">
        <v>27.0</v>
      </c>
      <c r="D33" s="8" t="str">
        <f t="shared" si="2"/>
        <v>H. Filosofía(27)</v>
      </c>
      <c r="E33" s="9">
        <v>0.6923</v>
      </c>
      <c r="F33" s="4">
        <v>6.3</v>
      </c>
      <c r="G33" s="10">
        <v>7.22</v>
      </c>
      <c r="H33" s="9">
        <v>0.8201</v>
      </c>
      <c r="I33" s="10">
        <v>6.97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</row>
    <row r="34">
      <c r="A34" s="4" t="s">
        <v>28</v>
      </c>
      <c r="B34" s="4" t="s">
        <v>22</v>
      </c>
      <c r="C34" s="8">
        <v>0.0</v>
      </c>
      <c r="D34" s="8" t="str">
        <f t="shared" si="2"/>
        <v>H. Arte(0)</v>
      </c>
      <c r="E34" s="9"/>
      <c r="G34" s="10"/>
      <c r="H34" s="9"/>
      <c r="I34" s="1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</row>
    <row r="35">
      <c r="A35" s="4" t="s">
        <v>28</v>
      </c>
      <c r="B35" s="4" t="s">
        <v>23</v>
      </c>
      <c r="C35" s="8">
        <v>1.0</v>
      </c>
      <c r="D35" s="8" t="str">
        <f t="shared" si="2"/>
        <v>Geografía(1)</v>
      </c>
      <c r="E35" s="9">
        <v>1.0</v>
      </c>
      <c r="F35" s="4">
        <v>8.25</v>
      </c>
      <c r="G35" s="10">
        <v>6.44</v>
      </c>
      <c r="H35" s="9">
        <v>0.8288</v>
      </c>
      <c r="I35" s="10">
        <v>6.36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</row>
    <row r="36">
      <c r="A36" s="4" t="s">
        <v>28</v>
      </c>
      <c r="B36" s="4" t="s">
        <v>29</v>
      </c>
      <c r="C36" s="8">
        <v>0.0</v>
      </c>
      <c r="D36" s="8" t="str">
        <f t="shared" si="2"/>
        <v>Francés(0)</v>
      </c>
      <c r="E36" s="9"/>
      <c r="G36" s="10"/>
      <c r="H36" s="9"/>
      <c r="I36" s="10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</row>
    <row r="37">
      <c r="A37" s="4" t="s">
        <v>28</v>
      </c>
      <c r="B37" s="4" t="s">
        <v>25</v>
      </c>
      <c r="C37" s="13">
        <v>44.0</v>
      </c>
      <c r="D37" s="8" t="str">
        <f t="shared" si="2"/>
        <v>Fase General(44)</v>
      </c>
      <c r="E37" s="9">
        <v>0.9318</v>
      </c>
      <c r="F37" s="14">
        <v>5.9</v>
      </c>
      <c r="G37" s="14">
        <f>(C23*G23+C24*G24+C25*G25+C26*G26+C27*G27+C33*G33)/(C23+C24+C25+C26+C27+C33)</f>
        <v>6.837909605</v>
      </c>
      <c r="H37" s="9">
        <v>0.9572</v>
      </c>
      <c r="I37" s="14">
        <v>6.65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</row>
    <row r="38">
      <c r="A38" s="4" t="s">
        <v>28</v>
      </c>
      <c r="B38" s="4" t="s">
        <v>26</v>
      </c>
      <c r="C38" s="13">
        <v>60.0</v>
      </c>
      <c r="D38" s="8" t="str">
        <f t="shared" si="2"/>
        <v>Titulan(60)</v>
      </c>
      <c r="E38" s="9">
        <v>0.7667</v>
      </c>
      <c r="F38" s="14"/>
      <c r="G38" s="14"/>
      <c r="H38" s="9"/>
      <c r="I38" s="14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</row>
    <row r="39">
      <c r="C39" s="1"/>
      <c r="D39" s="1"/>
      <c r="E39" s="2" t="s">
        <v>30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</row>
    <row r="40">
      <c r="C40" s="1"/>
      <c r="D40" s="1"/>
      <c r="E40" s="2" t="s">
        <v>1</v>
      </c>
      <c r="G40" s="2"/>
      <c r="H40" s="3" t="s">
        <v>2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</row>
    <row r="41">
      <c r="A41" s="4"/>
      <c r="B41" s="4" t="s">
        <v>3</v>
      </c>
      <c r="C41" s="5" t="s">
        <v>4</v>
      </c>
      <c r="D41" s="5"/>
      <c r="E41" s="6" t="s">
        <v>5</v>
      </c>
      <c r="F41" s="6" t="s">
        <v>6</v>
      </c>
      <c r="G41" s="6" t="s">
        <v>7</v>
      </c>
      <c r="H41" s="7" t="s">
        <v>8</v>
      </c>
      <c r="I41" s="6" t="s">
        <v>9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</row>
    <row r="42">
      <c r="A42" s="4" t="s">
        <v>31</v>
      </c>
      <c r="B42" s="4" t="s">
        <v>11</v>
      </c>
      <c r="C42" s="8">
        <v>43.0</v>
      </c>
      <c r="D42" s="8" t="str">
        <f t="shared" ref="D42:D57" si="3">Concatenate(B42,"(",C42,")")</f>
        <v>Lengua(43)</v>
      </c>
      <c r="E42" s="9">
        <v>0.7111</v>
      </c>
      <c r="F42" s="4">
        <v>5.68</v>
      </c>
      <c r="G42" s="10">
        <v>7.2</v>
      </c>
      <c r="H42" s="9">
        <v>0.8378</v>
      </c>
      <c r="I42" s="10">
        <v>6.61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</row>
    <row r="43">
      <c r="A43" s="4" t="s">
        <v>31</v>
      </c>
      <c r="B43" s="4" t="s">
        <v>12</v>
      </c>
      <c r="C43" s="8">
        <v>43.0</v>
      </c>
      <c r="D43" s="8" t="str">
        <f t="shared" si="3"/>
        <v>Inglés(43)</v>
      </c>
      <c r="E43" s="9">
        <v>0.7556</v>
      </c>
      <c r="F43" s="4">
        <v>6.55</v>
      </c>
      <c r="G43" s="10">
        <v>6.84</v>
      </c>
      <c r="H43" s="9">
        <v>0.8713</v>
      </c>
      <c r="I43" s="10">
        <v>7.28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</row>
    <row r="44">
      <c r="A44" s="4" t="s">
        <v>31</v>
      </c>
      <c r="B44" s="4" t="s">
        <v>13</v>
      </c>
      <c r="C44" s="8">
        <v>43.0</v>
      </c>
      <c r="D44" s="8" t="str">
        <f t="shared" si="3"/>
        <v>Historia(43)</v>
      </c>
      <c r="E44" s="9">
        <v>0.7111</v>
      </c>
      <c r="F44" s="4">
        <v>6.31</v>
      </c>
      <c r="G44" s="10">
        <v>7.3</v>
      </c>
      <c r="H44" s="9">
        <v>0.7989</v>
      </c>
      <c r="I44" s="10">
        <v>6.73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</row>
    <row r="45">
      <c r="A45" s="4" t="s">
        <v>31</v>
      </c>
      <c r="B45" s="4" t="s">
        <v>14</v>
      </c>
      <c r="C45" s="8">
        <v>25.0</v>
      </c>
      <c r="D45" s="8" t="str">
        <f t="shared" si="3"/>
        <v>Mate(25)</v>
      </c>
      <c r="E45" s="9">
        <v>0.8519</v>
      </c>
      <c r="F45" s="4">
        <v>6.78</v>
      </c>
      <c r="G45" s="10">
        <v>6.92</v>
      </c>
      <c r="H45" s="9">
        <v>0.7599</v>
      </c>
      <c r="I45" s="10">
        <v>6.48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</row>
    <row r="46">
      <c r="A46" s="4" t="s">
        <v>31</v>
      </c>
      <c r="B46" s="4" t="s">
        <v>15</v>
      </c>
      <c r="C46" s="8">
        <v>18.0</v>
      </c>
      <c r="D46" s="8" t="str">
        <f t="shared" si="3"/>
        <v>Mate CCSS(18)</v>
      </c>
      <c r="E46" s="9">
        <v>1.0</v>
      </c>
      <c r="F46" s="4">
        <v>7.71</v>
      </c>
      <c r="G46" s="10">
        <v>7.11</v>
      </c>
      <c r="H46" s="9">
        <v>0.8038</v>
      </c>
      <c r="I46" s="10">
        <v>6.79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</row>
    <row r="47">
      <c r="A47" s="4" t="s">
        <v>31</v>
      </c>
      <c r="B47" s="4" t="s">
        <v>16</v>
      </c>
      <c r="C47" s="8">
        <v>21.0</v>
      </c>
      <c r="D47" s="8" t="str">
        <f t="shared" si="3"/>
        <v>Física(21)</v>
      </c>
      <c r="E47" s="9">
        <v>0.9091</v>
      </c>
      <c r="F47" s="4">
        <v>7.27</v>
      </c>
      <c r="G47" s="10">
        <v>7.2</v>
      </c>
      <c r="H47" s="9">
        <v>0.8113</v>
      </c>
      <c r="I47" s="10">
        <v>6.85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</row>
    <row r="48">
      <c r="A48" s="4" t="s">
        <v>31</v>
      </c>
      <c r="B48" s="4" t="s">
        <v>17</v>
      </c>
      <c r="C48" s="8">
        <v>13.0</v>
      </c>
      <c r="D48" s="8" t="str">
        <f t="shared" si="3"/>
        <v>Química(13)</v>
      </c>
      <c r="E48" s="9">
        <v>0.7143</v>
      </c>
      <c r="F48" s="4">
        <v>6.68</v>
      </c>
      <c r="G48" s="10">
        <v>6.68</v>
      </c>
      <c r="H48" s="9">
        <v>0.8145</v>
      </c>
      <c r="I48" s="10">
        <v>6.81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</row>
    <row r="49">
      <c r="A49" s="4" t="s">
        <v>31</v>
      </c>
      <c r="B49" s="4" t="s">
        <v>18</v>
      </c>
      <c r="C49" s="8">
        <v>6.0</v>
      </c>
      <c r="D49" s="8" t="str">
        <f t="shared" si="3"/>
        <v>Biología(6)</v>
      </c>
      <c r="E49" s="9">
        <v>0.8571</v>
      </c>
      <c r="F49" s="4">
        <v>6.71</v>
      </c>
      <c r="G49" s="10">
        <v>7.86</v>
      </c>
      <c r="H49" s="9">
        <v>0.7063</v>
      </c>
      <c r="I49" s="10">
        <v>6.02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</row>
    <row r="50">
      <c r="A50" s="4" t="s">
        <v>31</v>
      </c>
      <c r="B50" s="4" t="s">
        <v>19</v>
      </c>
      <c r="C50" s="8">
        <v>8.0</v>
      </c>
      <c r="D50" s="8" t="str">
        <f t="shared" si="3"/>
        <v>Dibujo Técnico(8)</v>
      </c>
      <c r="E50" s="9">
        <v>0.625</v>
      </c>
      <c r="F50" s="4">
        <v>5.53</v>
      </c>
      <c r="G50" s="10">
        <v>7.41</v>
      </c>
      <c r="H50" s="9">
        <v>0.7167</v>
      </c>
      <c r="I50" s="10">
        <v>6.15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</row>
    <row r="51">
      <c r="A51" s="4" t="s">
        <v>31</v>
      </c>
      <c r="B51" s="4" t="s">
        <v>20</v>
      </c>
      <c r="C51" s="8">
        <v>11.0</v>
      </c>
      <c r="D51" s="8" t="str">
        <f t="shared" si="3"/>
        <v>Economía(11)</v>
      </c>
      <c r="E51" s="9">
        <v>0.9091</v>
      </c>
      <c r="F51" s="4">
        <v>8.23</v>
      </c>
      <c r="G51" s="10">
        <v>7.0</v>
      </c>
      <c r="H51" s="9">
        <v>0.765</v>
      </c>
      <c r="I51" s="10">
        <v>6.5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</row>
    <row r="52">
      <c r="A52" s="4" t="s">
        <v>31</v>
      </c>
      <c r="B52" s="4" t="s">
        <v>21</v>
      </c>
      <c r="C52" s="8">
        <v>7.0</v>
      </c>
      <c r="D52" s="8" t="str">
        <f t="shared" si="3"/>
        <v>H. Filosofía(7)</v>
      </c>
      <c r="E52" s="9">
        <v>0.8571</v>
      </c>
      <c r="F52" s="4">
        <v>6.21</v>
      </c>
      <c r="G52" s="10">
        <v>7.32</v>
      </c>
      <c r="H52" s="9">
        <v>0.7893</v>
      </c>
      <c r="I52" s="10">
        <v>6.5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</row>
    <row r="53">
      <c r="A53" s="4" t="s">
        <v>31</v>
      </c>
      <c r="B53" s="4" t="s">
        <v>22</v>
      </c>
      <c r="C53" s="8">
        <v>5.0</v>
      </c>
      <c r="D53" s="8" t="str">
        <f t="shared" si="3"/>
        <v>H. Arte(5)</v>
      </c>
      <c r="E53" s="9">
        <v>0.4</v>
      </c>
      <c r="F53" s="4">
        <v>4.75</v>
      </c>
      <c r="G53" s="10">
        <v>7.07</v>
      </c>
      <c r="H53" s="9">
        <v>0.6154</v>
      </c>
      <c r="I53" s="10">
        <v>5.66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</row>
    <row r="54">
      <c r="A54" s="4" t="s">
        <v>31</v>
      </c>
      <c r="B54" s="4" t="s">
        <v>23</v>
      </c>
      <c r="C54" s="8">
        <v>1.0</v>
      </c>
      <c r="D54" s="8" t="str">
        <f t="shared" si="3"/>
        <v>Geografía(1)</v>
      </c>
      <c r="E54" s="9">
        <v>1.0</v>
      </c>
      <c r="F54" s="4">
        <v>7.25</v>
      </c>
      <c r="G54" s="10">
        <v>8.0</v>
      </c>
      <c r="H54" s="9">
        <v>0.8612</v>
      </c>
      <c r="I54" s="10">
        <v>6.63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</row>
    <row r="55">
      <c r="A55" s="4" t="s">
        <v>31</v>
      </c>
      <c r="B55" s="4" t="s">
        <v>29</v>
      </c>
      <c r="C55" s="8">
        <v>0.0</v>
      </c>
      <c r="D55" s="8" t="str">
        <f t="shared" si="3"/>
        <v>Francés(0)</v>
      </c>
      <c r="E55" s="9">
        <v>0.0</v>
      </c>
      <c r="F55" s="4">
        <v>0.0</v>
      </c>
      <c r="G55" s="10">
        <v>0.0</v>
      </c>
      <c r="H55" s="9">
        <v>0.7802</v>
      </c>
      <c r="I55" s="10">
        <v>5.94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</row>
    <row r="56">
      <c r="A56" s="4" t="s">
        <v>31</v>
      </c>
      <c r="B56" s="4" t="s">
        <v>25</v>
      </c>
      <c r="C56" s="13">
        <v>43.0</v>
      </c>
      <c r="D56" s="8" t="str">
        <f t="shared" si="3"/>
        <v>Fase General(43)</v>
      </c>
      <c r="E56" s="9">
        <v>0.9556</v>
      </c>
      <c r="F56" s="14">
        <v>6.41</v>
      </c>
      <c r="G56" s="14">
        <f>IFERROR(__xludf.DUMMYFUNCTION("AVERAGE.WEIGHTED(G42:G46,C42:C46)"),7.084883720930232)</f>
        <v>7.084883721</v>
      </c>
      <c r="H56" s="9">
        <v>0.9526</v>
      </c>
      <c r="I56" s="14">
        <v>6.743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</row>
    <row r="57">
      <c r="A57" s="4" t="s">
        <v>32</v>
      </c>
      <c r="B57" s="4" t="s">
        <v>26</v>
      </c>
      <c r="C57" s="13">
        <v>54.0</v>
      </c>
      <c r="D57" s="8" t="str">
        <f t="shared" si="3"/>
        <v>Titulan(54)</v>
      </c>
      <c r="E57" s="9">
        <v>0.7963</v>
      </c>
      <c r="F57" s="14"/>
      <c r="G57" s="14"/>
      <c r="H57" s="9"/>
      <c r="I57" s="14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</row>
    <row r="58">
      <c r="C58" s="1"/>
      <c r="D58" s="1"/>
      <c r="E58" s="2" t="s">
        <v>33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>
      <c r="C59" s="1"/>
      <c r="D59" s="1"/>
      <c r="E59" s="2" t="s">
        <v>1</v>
      </c>
      <c r="G59" s="2"/>
      <c r="H59" s="3" t="s">
        <v>2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0">
      <c r="A60" s="4"/>
      <c r="B60" s="4" t="s">
        <v>3</v>
      </c>
      <c r="C60" s="5" t="s">
        <v>4</v>
      </c>
      <c r="D60" s="5"/>
      <c r="E60" s="6" t="s">
        <v>5</v>
      </c>
      <c r="F60" s="6" t="s">
        <v>6</v>
      </c>
      <c r="G60" s="6" t="s">
        <v>7</v>
      </c>
      <c r="H60" s="7" t="s">
        <v>8</v>
      </c>
      <c r="I60" s="6" t="s">
        <v>9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</row>
    <row r="61">
      <c r="A61" s="4" t="s">
        <v>34</v>
      </c>
      <c r="B61" s="4" t="s">
        <v>11</v>
      </c>
      <c r="C61" s="8">
        <v>48.0</v>
      </c>
      <c r="D61" s="8" t="str">
        <f t="shared" ref="D61:D76" si="4">Concatenate(B61,"(",C61,")")</f>
        <v>Lengua(48)</v>
      </c>
      <c r="E61" s="9">
        <v>0.6735</v>
      </c>
      <c r="F61" s="4">
        <v>6.19</v>
      </c>
      <c r="G61" s="10">
        <v>6.77</v>
      </c>
      <c r="H61" s="9">
        <v>0.8373</v>
      </c>
      <c r="I61" s="10">
        <v>6.66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</row>
    <row r="62">
      <c r="A62" s="4" t="s">
        <v>34</v>
      </c>
      <c r="B62" s="4" t="s">
        <v>12</v>
      </c>
      <c r="C62" s="8">
        <v>48.0</v>
      </c>
      <c r="D62" s="8" t="str">
        <f t="shared" si="4"/>
        <v>Inglés(48)</v>
      </c>
      <c r="E62" s="9">
        <v>0.5918</v>
      </c>
      <c r="F62" s="4">
        <v>5.6</v>
      </c>
      <c r="G62" s="4">
        <v>7.0</v>
      </c>
      <c r="H62" s="9">
        <v>0.7533</v>
      </c>
      <c r="I62" s="10">
        <v>6.35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</row>
    <row r="63">
      <c r="A63" s="4" t="s">
        <v>34</v>
      </c>
      <c r="B63" s="4" t="s">
        <v>13</v>
      </c>
      <c r="C63" s="8">
        <v>48.0</v>
      </c>
      <c r="D63" s="8" t="str">
        <f t="shared" si="4"/>
        <v>Historia(48)</v>
      </c>
      <c r="E63" s="9">
        <v>0.6531</v>
      </c>
      <c r="F63" s="4">
        <v>5.89</v>
      </c>
      <c r="G63" s="10">
        <v>7.3</v>
      </c>
      <c r="H63" s="9">
        <v>0.7466</v>
      </c>
      <c r="I63" s="10">
        <v>6.49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</row>
    <row r="64">
      <c r="A64" s="4" t="s">
        <v>34</v>
      </c>
      <c r="B64" s="4" t="s">
        <v>14</v>
      </c>
      <c r="C64" s="8">
        <v>28.0</v>
      </c>
      <c r="D64" s="8" t="str">
        <f t="shared" si="4"/>
        <v>Mate(28)</v>
      </c>
      <c r="E64" s="9">
        <v>0.8966</v>
      </c>
      <c r="F64" s="4">
        <v>7.47</v>
      </c>
      <c r="G64" s="10">
        <v>7.21</v>
      </c>
      <c r="H64" s="9">
        <v>0.8134</v>
      </c>
      <c r="I64" s="10">
        <v>6.74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</row>
    <row r="65">
      <c r="A65" s="4" t="s">
        <v>34</v>
      </c>
      <c r="B65" s="4" t="s">
        <v>15</v>
      </c>
      <c r="C65" s="8">
        <v>20.0</v>
      </c>
      <c r="D65" s="8" t="str">
        <f t="shared" si="4"/>
        <v>Mate CCSS(20)</v>
      </c>
      <c r="E65" s="9">
        <v>0.8</v>
      </c>
      <c r="F65" s="4">
        <v>6.2</v>
      </c>
      <c r="G65" s="10">
        <v>6.68</v>
      </c>
      <c r="H65" s="9">
        <v>0.7099</v>
      </c>
      <c r="I65" s="10">
        <v>5.93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</row>
    <row r="66">
      <c r="A66" s="4" t="s">
        <v>34</v>
      </c>
      <c r="B66" s="4" t="s">
        <v>16</v>
      </c>
      <c r="C66" s="8">
        <v>25.0</v>
      </c>
      <c r="D66" s="8" t="str">
        <f t="shared" si="4"/>
        <v>Física(25)</v>
      </c>
      <c r="E66" s="9">
        <v>0.72</v>
      </c>
      <c r="F66" s="4">
        <v>5.72</v>
      </c>
      <c r="G66" s="10">
        <v>7.48</v>
      </c>
      <c r="H66" s="9">
        <v>0.6059</v>
      </c>
      <c r="I66" s="10">
        <v>5.52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</row>
    <row r="67">
      <c r="A67" s="4" t="s">
        <v>34</v>
      </c>
      <c r="B67" s="4" t="s">
        <v>17</v>
      </c>
      <c r="C67" s="8">
        <v>19.0</v>
      </c>
      <c r="D67" s="8" t="str">
        <f t="shared" si="4"/>
        <v>Química(19)</v>
      </c>
      <c r="E67" s="9">
        <v>0.7895</v>
      </c>
      <c r="F67" s="4">
        <v>7.01</v>
      </c>
      <c r="G67" s="10">
        <v>7.62</v>
      </c>
      <c r="H67" s="9">
        <v>0.8481</v>
      </c>
      <c r="I67" s="10">
        <v>7.06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</row>
    <row r="68">
      <c r="A68" s="4" t="s">
        <v>34</v>
      </c>
      <c r="B68" s="4" t="s">
        <v>18</v>
      </c>
      <c r="C68" s="8">
        <v>10.0</v>
      </c>
      <c r="D68" s="8" t="str">
        <f t="shared" si="4"/>
        <v>Biología(10)</v>
      </c>
      <c r="E68" s="9">
        <v>0.9</v>
      </c>
      <c r="F68" s="4">
        <v>7.55</v>
      </c>
      <c r="G68" s="10">
        <v>7.76</v>
      </c>
      <c r="H68" s="9">
        <v>0.8845</v>
      </c>
      <c r="I68" s="10">
        <v>7.31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</row>
    <row r="69">
      <c r="A69" s="4" t="s">
        <v>34</v>
      </c>
      <c r="B69" s="4" t="s">
        <v>19</v>
      </c>
      <c r="C69" s="8">
        <v>6.0</v>
      </c>
      <c r="D69" s="8" t="str">
        <f t="shared" si="4"/>
        <v>Dibujo Técnico(6)</v>
      </c>
      <c r="E69" s="9">
        <v>0.6667</v>
      </c>
      <c r="F69" s="4">
        <v>5.75</v>
      </c>
      <c r="G69" s="10">
        <v>8.13</v>
      </c>
      <c r="H69" s="9">
        <v>0.5987</v>
      </c>
      <c r="I69" s="10">
        <v>5.45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</row>
    <row r="70">
      <c r="A70" s="4" t="s">
        <v>34</v>
      </c>
      <c r="B70" s="4" t="s">
        <v>20</v>
      </c>
      <c r="C70" s="8">
        <v>10.0</v>
      </c>
      <c r="D70" s="8" t="str">
        <f t="shared" si="4"/>
        <v>Economía(10)</v>
      </c>
      <c r="E70" s="9">
        <v>0.9</v>
      </c>
      <c r="F70" s="4">
        <v>7.9</v>
      </c>
      <c r="G70" s="10">
        <v>6.32</v>
      </c>
      <c r="H70" s="9">
        <v>0.841</v>
      </c>
      <c r="I70" s="10">
        <v>7.02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</row>
    <row r="71">
      <c r="A71" s="4" t="s">
        <v>34</v>
      </c>
      <c r="B71" s="4" t="s">
        <v>21</v>
      </c>
      <c r="C71" s="8">
        <v>14.0</v>
      </c>
      <c r="D71" s="8" t="str">
        <f t="shared" si="4"/>
        <v>H. Filosofía(14)</v>
      </c>
      <c r="E71" s="9">
        <v>0.7143</v>
      </c>
      <c r="F71" s="4">
        <v>5.55</v>
      </c>
      <c r="G71" s="10">
        <v>6.89</v>
      </c>
      <c r="H71" s="9">
        <v>0.7975</v>
      </c>
      <c r="I71" s="10">
        <v>6.61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</row>
    <row r="72">
      <c r="A72" s="4" t="s">
        <v>34</v>
      </c>
      <c r="B72" s="4" t="s">
        <v>22</v>
      </c>
      <c r="C72" s="8">
        <v>6.0</v>
      </c>
      <c r="D72" s="8" t="str">
        <f t="shared" si="4"/>
        <v>H. Arte(6)</v>
      </c>
      <c r="E72" s="9">
        <v>0.8333</v>
      </c>
      <c r="F72" s="4">
        <v>6.79</v>
      </c>
      <c r="G72" s="10">
        <v>7.0</v>
      </c>
      <c r="H72" s="9">
        <v>0.7964</v>
      </c>
      <c r="I72" s="10">
        <v>6.44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</row>
    <row r="73">
      <c r="A73" s="4" t="s">
        <v>34</v>
      </c>
      <c r="B73" s="4" t="s">
        <v>23</v>
      </c>
      <c r="C73" s="8">
        <v>3.0</v>
      </c>
      <c r="D73" s="8" t="str">
        <f t="shared" si="4"/>
        <v>Geografía(3)</v>
      </c>
      <c r="E73" s="9">
        <v>0.3333</v>
      </c>
      <c r="F73" s="4">
        <v>4.33</v>
      </c>
      <c r="G73" s="10">
        <v>6.8</v>
      </c>
      <c r="H73" s="9">
        <v>0.6676</v>
      </c>
      <c r="I73" s="10">
        <v>5.69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</row>
    <row r="74">
      <c r="A74" s="4" t="s">
        <v>34</v>
      </c>
      <c r="B74" s="4" t="s">
        <v>29</v>
      </c>
      <c r="C74" s="8">
        <v>2.0</v>
      </c>
      <c r="D74" s="8" t="str">
        <f t="shared" si="4"/>
        <v>Francés(2)</v>
      </c>
      <c r="E74" s="9">
        <v>0.0</v>
      </c>
      <c r="F74" s="4">
        <v>4.5</v>
      </c>
      <c r="G74" s="10">
        <v>8.83</v>
      </c>
      <c r="H74" s="9">
        <v>0.7059</v>
      </c>
      <c r="I74" s="10">
        <v>6.83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</row>
    <row r="75">
      <c r="A75" s="4" t="s">
        <v>34</v>
      </c>
      <c r="B75" s="4" t="s">
        <v>25</v>
      </c>
      <c r="C75" s="13">
        <v>48.0</v>
      </c>
      <c r="D75" s="8" t="str">
        <f t="shared" si="4"/>
        <v>Fase General(48)</v>
      </c>
      <c r="E75" s="9">
        <v>0.88</v>
      </c>
      <c r="F75" s="14">
        <f>IFERROR(__xludf.DUMMYFUNCTION("AVERAGE.WEIGHTED(F61:F65,C61:C65)"),6.155208333333333)</f>
        <v>6.155208333</v>
      </c>
      <c r="G75" s="14">
        <f>IFERROR(__xludf.DUMMYFUNCTION("AVERAGE.WEIGHTED(G61:G65,C61:C65)"),7.0147916666666665)</f>
        <v>7.014791667</v>
      </c>
      <c r="H75" s="9">
        <v>0.9328</v>
      </c>
      <c r="I75" s="14">
        <v>6.49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</row>
    <row r="76">
      <c r="A76" s="4" t="s">
        <v>34</v>
      </c>
      <c r="B76" s="4" t="s">
        <v>26</v>
      </c>
      <c r="C76" s="13">
        <v>59.0</v>
      </c>
      <c r="D76" s="8" t="str">
        <f t="shared" si="4"/>
        <v>Titulan(59)</v>
      </c>
      <c r="E76" s="9">
        <v>0.8136</v>
      </c>
      <c r="F76" s="14"/>
      <c r="G76" s="14"/>
      <c r="H76" s="9"/>
      <c r="I76" s="14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</row>
    <row r="77">
      <c r="C77" s="1"/>
      <c r="D77" s="1"/>
      <c r="E77" s="2" t="s">
        <v>35</v>
      </c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</row>
    <row r="78">
      <c r="C78" s="1"/>
      <c r="D78" s="1"/>
      <c r="E78" s="2" t="s">
        <v>1</v>
      </c>
      <c r="G78" s="2"/>
      <c r="H78" s="3" t="s">
        <v>2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</row>
    <row r="79">
      <c r="A79" s="4"/>
      <c r="B79" s="4" t="s">
        <v>3</v>
      </c>
      <c r="C79" s="5" t="s">
        <v>4</v>
      </c>
      <c r="D79" s="5"/>
      <c r="E79" s="6" t="s">
        <v>5</v>
      </c>
      <c r="F79" s="6" t="s">
        <v>6</v>
      </c>
      <c r="G79" s="6" t="s">
        <v>7</v>
      </c>
      <c r="H79" s="7" t="s">
        <v>8</v>
      </c>
      <c r="I79" s="6" t="s">
        <v>9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</row>
    <row r="80">
      <c r="A80" s="4" t="s">
        <v>36</v>
      </c>
      <c r="B80" s="4" t="s">
        <v>11</v>
      </c>
      <c r="C80" s="8">
        <v>49.0</v>
      </c>
      <c r="D80" s="8" t="str">
        <f t="shared" ref="D80:D95" si="5">Concatenate(B80,"(",C80,")")</f>
        <v>Lengua(49)</v>
      </c>
      <c r="E80" s="9">
        <v>0.7083</v>
      </c>
      <c r="F80" s="10">
        <v>5.82</v>
      </c>
      <c r="G80" s="10">
        <v>6.43</v>
      </c>
      <c r="H80" s="9">
        <v>0.8332</v>
      </c>
      <c r="I80" s="10">
        <v>6.54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</row>
    <row r="81">
      <c r="A81" s="4" t="s">
        <v>36</v>
      </c>
      <c r="B81" s="4" t="s">
        <v>12</v>
      </c>
      <c r="C81" s="8">
        <v>49.0</v>
      </c>
      <c r="D81" s="8" t="str">
        <f t="shared" si="5"/>
        <v>Inglés(49)</v>
      </c>
      <c r="E81" s="9">
        <v>0.5918</v>
      </c>
      <c r="F81" s="4">
        <v>5.28</v>
      </c>
      <c r="G81" s="10">
        <v>6.51</v>
      </c>
      <c r="H81" s="9">
        <v>0.7798</v>
      </c>
      <c r="I81" s="10">
        <v>6.48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>
      <c r="A82" s="4" t="s">
        <v>36</v>
      </c>
      <c r="B82" s="4" t="s">
        <v>13</v>
      </c>
      <c r="C82" s="8">
        <v>49.0</v>
      </c>
      <c r="D82" s="8" t="str">
        <f t="shared" si="5"/>
        <v>Historia(49)</v>
      </c>
      <c r="E82" s="9">
        <v>0.6735</v>
      </c>
      <c r="F82" s="10">
        <v>5.97</v>
      </c>
      <c r="G82" s="10">
        <v>6.94</v>
      </c>
      <c r="H82" s="9">
        <v>0.7692</v>
      </c>
      <c r="I82" s="10">
        <v>6.61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</row>
    <row r="83">
      <c r="A83" s="4" t="s">
        <v>36</v>
      </c>
      <c r="B83" s="4" t="s">
        <v>14</v>
      </c>
      <c r="C83" s="8">
        <v>31.0</v>
      </c>
      <c r="D83" s="8" t="str">
        <f t="shared" si="5"/>
        <v>Mate(31)</v>
      </c>
      <c r="E83" s="9">
        <v>0.8065</v>
      </c>
      <c r="F83" s="10">
        <v>6.31</v>
      </c>
      <c r="G83" s="10">
        <v>6.81</v>
      </c>
      <c r="H83" s="9">
        <v>0.7154</v>
      </c>
      <c r="I83" s="10">
        <v>6.15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</row>
    <row r="84">
      <c r="A84" s="4" t="s">
        <v>36</v>
      </c>
      <c r="B84" s="4" t="s">
        <v>15</v>
      </c>
      <c r="C84" s="8">
        <v>19.0</v>
      </c>
      <c r="D84" s="8" t="str">
        <f t="shared" si="5"/>
        <v>Mate CCSS(19)</v>
      </c>
      <c r="E84" s="9">
        <v>0.8421</v>
      </c>
      <c r="F84" s="10">
        <v>6.87</v>
      </c>
      <c r="G84" s="10">
        <v>6.89</v>
      </c>
      <c r="H84" s="9">
        <v>0.6568</v>
      </c>
      <c r="I84" s="10">
        <v>5.83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</row>
    <row r="85">
      <c r="A85" s="4" t="s">
        <v>36</v>
      </c>
      <c r="B85" s="4" t="s">
        <v>16</v>
      </c>
      <c r="C85" s="8">
        <v>24.0</v>
      </c>
      <c r="D85" s="8" t="str">
        <f t="shared" si="5"/>
        <v>Física(24)</v>
      </c>
      <c r="E85" s="9">
        <v>0.7917</v>
      </c>
      <c r="F85" s="10">
        <v>6.98</v>
      </c>
      <c r="G85" s="10">
        <v>7.77</v>
      </c>
      <c r="H85" s="9">
        <v>0.7789</v>
      </c>
      <c r="I85" s="10">
        <v>6.92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</row>
    <row r="86">
      <c r="A86" s="4" t="s">
        <v>36</v>
      </c>
      <c r="B86" s="4" t="s">
        <v>17</v>
      </c>
      <c r="C86" s="8">
        <v>27.0</v>
      </c>
      <c r="D86" s="8" t="str">
        <f t="shared" si="5"/>
        <v>Química(27)</v>
      </c>
      <c r="E86" s="9">
        <v>0.963</v>
      </c>
      <c r="F86" s="10">
        <v>7.71</v>
      </c>
      <c r="G86" s="10">
        <v>7.65</v>
      </c>
      <c r="H86" s="9">
        <v>0.9031</v>
      </c>
      <c r="I86" s="10">
        <v>7.6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</row>
    <row r="87">
      <c r="A87" s="4" t="s">
        <v>36</v>
      </c>
      <c r="B87" s="4" t="s">
        <v>18</v>
      </c>
      <c r="C87" s="8">
        <v>8.0</v>
      </c>
      <c r="D87" s="8" t="str">
        <f t="shared" si="5"/>
        <v>Biología(8)</v>
      </c>
      <c r="E87" s="9">
        <v>1.0</v>
      </c>
      <c r="F87" s="10">
        <v>7.47</v>
      </c>
      <c r="G87" s="10">
        <v>7.2</v>
      </c>
      <c r="H87" s="9">
        <v>0.8501</v>
      </c>
      <c r="I87" s="10">
        <v>7.14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</row>
    <row r="88">
      <c r="A88" s="4" t="s">
        <v>36</v>
      </c>
      <c r="B88" s="4" t="s">
        <v>19</v>
      </c>
      <c r="C88" s="8">
        <v>3.0</v>
      </c>
      <c r="D88" s="8" t="str">
        <f t="shared" si="5"/>
        <v>Dibujo Técnico(3)</v>
      </c>
      <c r="E88" s="9">
        <v>0.3333</v>
      </c>
      <c r="F88" s="10">
        <v>4.42</v>
      </c>
      <c r="G88" s="10">
        <v>8.5</v>
      </c>
      <c r="H88" s="9">
        <v>0.6453</v>
      </c>
      <c r="I88" s="10">
        <v>5.8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</row>
    <row r="89">
      <c r="A89" s="4" t="s">
        <v>36</v>
      </c>
      <c r="B89" s="4" t="s">
        <v>20</v>
      </c>
      <c r="C89" s="8">
        <v>14.0</v>
      </c>
      <c r="D89" s="8" t="str">
        <f t="shared" si="5"/>
        <v>Economía(14)</v>
      </c>
      <c r="E89" s="9">
        <v>1.0</v>
      </c>
      <c r="F89" s="10">
        <v>8.18</v>
      </c>
      <c r="G89" s="10">
        <v>6.44</v>
      </c>
      <c r="H89" s="9">
        <v>0.8281</v>
      </c>
      <c r="I89" s="10">
        <v>7.01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</row>
    <row r="90">
      <c r="A90" s="4" t="s">
        <v>36</v>
      </c>
      <c r="B90" s="4" t="s">
        <v>21</v>
      </c>
      <c r="C90" s="8">
        <v>4.0</v>
      </c>
      <c r="D90" s="8" t="str">
        <f t="shared" si="5"/>
        <v>H. Filosofía(4)</v>
      </c>
      <c r="E90" s="9">
        <v>0.75</v>
      </c>
      <c r="F90" s="10">
        <v>6.38</v>
      </c>
      <c r="G90" s="10">
        <v>6.83</v>
      </c>
      <c r="H90" s="9">
        <v>0.773</v>
      </c>
      <c r="I90" s="10">
        <v>6.4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</row>
    <row r="91">
      <c r="A91" s="4" t="s">
        <v>36</v>
      </c>
      <c r="B91" s="4" t="s">
        <v>22</v>
      </c>
      <c r="C91" s="8">
        <v>3.0</v>
      </c>
      <c r="D91" s="8" t="str">
        <f t="shared" si="5"/>
        <v>H. Arte(3)</v>
      </c>
      <c r="E91" s="9">
        <v>1.0</v>
      </c>
      <c r="F91" s="10">
        <v>7.5</v>
      </c>
      <c r="G91" s="10">
        <v>7.5</v>
      </c>
      <c r="H91" s="9">
        <v>0.7485</v>
      </c>
      <c r="I91" s="10">
        <v>6.39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</row>
    <row r="92">
      <c r="A92" s="4" t="s">
        <v>36</v>
      </c>
      <c r="B92" s="4" t="s">
        <v>23</v>
      </c>
      <c r="C92" s="8">
        <v>5.0</v>
      </c>
      <c r="D92" s="8" t="str">
        <f t="shared" si="5"/>
        <v>Geografía(5)</v>
      </c>
      <c r="E92" s="9">
        <v>0.8</v>
      </c>
      <c r="F92" s="10">
        <v>7.15</v>
      </c>
      <c r="G92" s="10">
        <v>7.06</v>
      </c>
      <c r="H92" s="9">
        <v>0.839</v>
      </c>
      <c r="I92" s="10">
        <v>6.4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</row>
    <row r="93">
      <c r="A93" s="4" t="s">
        <v>36</v>
      </c>
      <c r="B93" s="4" t="s">
        <v>29</v>
      </c>
      <c r="C93" s="8">
        <v>1.0</v>
      </c>
      <c r="D93" s="8" t="str">
        <f t="shared" si="5"/>
        <v>Francés(1)</v>
      </c>
      <c r="E93" s="9">
        <v>1.0</v>
      </c>
      <c r="F93" s="10">
        <v>7.25</v>
      </c>
      <c r="G93" s="10">
        <v>8.25</v>
      </c>
      <c r="H93" s="9">
        <v>0.7903</v>
      </c>
      <c r="I93" s="10">
        <v>6.62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</row>
    <row r="94">
      <c r="A94" s="4" t="s">
        <v>36</v>
      </c>
      <c r="B94" s="4" t="s">
        <v>25</v>
      </c>
      <c r="C94" s="13">
        <v>49.0</v>
      </c>
      <c r="D94" s="8" t="str">
        <f t="shared" si="5"/>
        <v>Fase General(49)</v>
      </c>
      <c r="E94" s="9">
        <v>0.9592</v>
      </c>
      <c r="F94" s="14">
        <f>IFERROR(__xludf.DUMMYFUNCTION("AVERAGE.WEIGHTED(F80:F84,C80:C84)"),5.901370558375635)</f>
        <v>5.901370558</v>
      </c>
      <c r="G94" s="14">
        <f>IFERROR(__xludf.DUMMYFUNCTION("AVERAGE.WEIGHTED(G80:G84,C80:C84)"),6.680913705583756)</f>
        <v>6.680913706</v>
      </c>
      <c r="H94" s="9">
        <v>0.9368</v>
      </c>
      <c r="I94" s="15">
        <v>6.39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</row>
    <row r="95">
      <c r="A95" s="4" t="s">
        <v>36</v>
      </c>
      <c r="B95" s="4" t="s">
        <v>26</v>
      </c>
      <c r="C95" s="13">
        <v>54.0</v>
      </c>
      <c r="D95" s="8" t="str">
        <f t="shared" si="5"/>
        <v>Titulan(54)</v>
      </c>
      <c r="E95" s="9">
        <v>0.907</v>
      </c>
      <c r="F95" s="14"/>
      <c r="G95" s="14"/>
      <c r="H95" s="9"/>
      <c r="I95" s="15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</row>
    <row r="96">
      <c r="C96" s="1"/>
      <c r="D96" s="1"/>
      <c r="E96" s="2" t="s">
        <v>37</v>
      </c>
      <c r="J96" s="2"/>
      <c r="N96" s="2"/>
      <c r="R96" s="2"/>
      <c r="V96" s="2"/>
      <c r="Z96" s="2"/>
      <c r="AD96" s="2"/>
      <c r="AH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</row>
    <row r="97">
      <c r="C97" s="1"/>
      <c r="D97" s="1"/>
      <c r="E97" s="2" t="s">
        <v>1</v>
      </c>
      <c r="G97" s="2"/>
      <c r="H97" s="3" t="s">
        <v>2</v>
      </c>
      <c r="J97" s="2"/>
      <c r="L97" s="16"/>
      <c r="N97" s="2"/>
      <c r="P97" s="16"/>
      <c r="R97" s="2"/>
      <c r="T97" s="16"/>
      <c r="V97" s="2"/>
      <c r="X97" s="16"/>
      <c r="Z97" s="2"/>
      <c r="AB97" s="16"/>
      <c r="AD97" s="2"/>
      <c r="AF97" s="16"/>
      <c r="AH97" s="2"/>
      <c r="AJ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</row>
    <row r="98">
      <c r="A98" s="4"/>
      <c r="B98" s="4" t="s">
        <v>3</v>
      </c>
      <c r="C98" s="5" t="s">
        <v>4</v>
      </c>
      <c r="D98" s="5"/>
      <c r="E98" s="6" t="s">
        <v>5</v>
      </c>
      <c r="F98" s="6" t="s">
        <v>6</v>
      </c>
      <c r="G98" s="6" t="s">
        <v>7</v>
      </c>
      <c r="H98" s="7" t="s">
        <v>8</v>
      </c>
      <c r="I98" s="6" t="s">
        <v>9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</row>
    <row r="99">
      <c r="A99" s="4" t="s">
        <v>38</v>
      </c>
      <c r="B99" s="4" t="s">
        <v>11</v>
      </c>
      <c r="C99" s="8">
        <v>50.0</v>
      </c>
      <c r="D99" s="8" t="str">
        <f t="shared" ref="D99:D114" si="6">Concatenate(B99,"(",C99,")")</f>
        <v>Lengua(50)</v>
      </c>
      <c r="E99" s="9">
        <v>0.62</v>
      </c>
      <c r="F99" s="10">
        <v>6.155</v>
      </c>
      <c r="G99" s="10">
        <v>7.96</v>
      </c>
      <c r="H99" s="9">
        <v>0.786</v>
      </c>
      <c r="I99" s="10">
        <v>6.366</v>
      </c>
      <c r="J99" s="17"/>
      <c r="K99" s="12"/>
      <c r="L99" s="17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</row>
    <row r="100">
      <c r="A100" s="4" t="s">
        <v>38</v>
      </c>
      <c r="B100" s="4" t="s">
        <v>12</v>
      </c>
      <c r="C100" s="8">
        <v>50.0</v>
      </c>
      <c r="D100" s="8" t="str">
        <f t="shared" si="6"/>
        <v>Inglés(50)</v>
      </c>
      <c r="E100" s="9">
        <v>0.8</v>
      </c>
      <c r="F100" s="10">
        <v>6.86</v>
      </c>
      <c r="G100" s="10">
        <v>8.08</v>
      </c>
      <c r="H100" s="9">
        <v>0.7849</v>
      </c>
      <c r="I100" s="10">
        <v>6.701</v>
      </c>
      <c r="J100" s="17"/>
      <c r="K100" s="12"/>
      <c r="L100" s="17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</row>
    <row r="101">
      <c r="A101" s="4" t="s">
        <v>38</v>
      </c>
      <c r="B101" s="4" t="s">
        <v>13</v>
      </c>
      <c r="C101" s="8">
        <v>50.0</v>
      </c>
      <c r="D101" s="8" t="str">
        <f t="shared" si="6"/>
        <v>Historia(50)</v>
      </c>
      <c r="E101" s="9">
        <v>0.6</v>
      </c>
      <c r="F101" s="10">
        <v>5.64</v>
      </c>
      <c r="G101" s="10">
        <v>8.33</v>
      </c>
      <c r="H101" s="9">
        <v>0.6981</v>
      </c>
      <c r="I101" s="10">
        <v>6.089</v>
      </c>
      <c r="J101" s="17"/>
      <c r="K101" s="12"/>
      <c r="L101" s="17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</row>
    <row r="102">
      <c r="A102" s="4" t="s">
        <v>38</v>
      </c>
      <c r="B102" s="4" t="s">
        <v>14</v>
      </c>
      <c r="C102" s="8">
        <v>31.0</v>
      </c>
      <c r="D102" s="8" t="str">
        <f t="shared" si="6"/>
        <v>Mate(31)</v>
      </c>
      <c r="E102" s="9">
        <v>0.8387</v>
      </c>
      <c r="F102" s="10">
        <v>7.556</v>
      </c>
      <c r="G102" s="10">
        <v>7.6</v>
      </c>
      <c r="H102" s="9">
        <v>0.7607</v>
      </c>
      <c r="I102" s="10">
        <v>6.656</v>
      </c>
      <c r="J102" s="9"/>
      <c r="K102" s="8"/>
      <c r="L102" s="17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</row>
    <row r="103">
      <c r="A103" s="4" t="s">
        <v>38</v>
      </c>
      <c r="B103" s="4" t="s">
        <v>15</v>
      </c>
      <c r="C103" s="8">
        <v>20.0</v>
      </c>
      <c r="D103" s="8" t="str">
        <f t="shared" si="6"/>
        <v>Mate CCSS(20)</v>
      </c>
      <c r="E103" s="9">
        <v>0.85</v>
      </c>
      <c r="F103" s="10">
        <v>6.388</v>
      </c>
      <c r="G103" s="10">
        <v>7.72</v>
      </c>
      <c r="H103" s="9">
        <v>0.5999</v>
      </c>
      <c r="I103" s="10">
        <v>5.331</v>
      </c>
      <c r="J103" s="9"/>
      <c r="K103" s="10"/>
      <c r="L103" s="17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</row>
    <row r="104">
      <c r="A104" s="4" t="s">
        <v>38</v>
      </c>
      <c r="B104" s="4" t="s">
        <v>16</v>
      </c>
      <c r="C104" s="8">
        <v>28.0</v>
      </c>
      <c r="D104" s="8" t="str">
        <f t="shared" si="6"/>
        <v>Física(28)</v>
      </c>
      <c r="E104" s="9">
        <v>0.7778</v>
      </c>
      <c r="F104" s="10">
        <v>7.046</v>
      </c>
      <c r="G104" s="10">
        <v>7.3</v>
      </c>
      <c r="H104" s="9">
        <v>0.8166</v>
      </c>
      <c r="I104" s="10">
        <v>7.081</v>
      </c>
      <c r="J104" s="17"/>
      <c r="K104" s="12"/>
      <c r="L104" s="17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</row>
    <row r="105">
      <c r="A105" s="4" t="s">
        <v>38</v>
      </c>
      <c r="B105" s="4" t="s">
        <v>17</v>
      </c>
      <c r="C105" s="8">
        <v>22.0</v>
      </c>
      <c r="D105" s="8" t="str">
        <f t="shared" si="6"/>
        <v>Química(22)</v>
      </c>
      <c r="E105" s="9">
        <v>0.6818</v>
      </c>
      <c r="F105" s="10">
        <v>6.011</v>
      </c>
      <c r="G105" s="10">
        <v>7.37</v>
      </c>
      <c r="H105" s="9">
        <v>0.6973</v>
      </c>
      <c r="I105" s="10">
        <v>6.104</v>
      </c>
      <c r="J105" s="17"/>
      <c r="K105" s="12"/>
      <c r="L105" s="17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</row>
    <row r="106">
      <c r="A106" s="4" t="s">
        <v>38</v>
      </c>
      <c r="B106" s="4" t="s">
        <v>18</v>
      </c>
      <c r="C106" s="8">
        <v>11.0</v>
      </c>
      <c r="D106" s="8" t="str">
        <f t="shared" si="6"/>
        <v>Biología(11)</v>
      </c>
      <c r="E106" s="9">
        <v>0.9091</v>
      </c>
      <c r="F106" s="10">
        <v>7.5</v>
      </c>
      <c r="G106" s="10">
        <v>8.31</v>
      </c>
      <c r="H106" s="9">
        <v>0.7162</v>
      </c>
      <c r="I106" s="10">
        <v>6.326</v>
      </c>
      <c r="J106" s="17"/>
      <c r="K106" s="12"/>
      <c r="L106" s="17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</row>
    <row r="107">
      <c r="A107" s="4" t="s">
        <v>38</v>
      </c>
      <c r="B107" s="4" t="s">
        <v>19</v>
      </c>
      <c r="C107" s="8">
        <v>7.0</v>
      </c>
      <c r="D107" s="8" t="str">
        <f t="shared" si="6"/>
        <v>Dibujo Técnico(7)</v>
      </c>
      <c r="E107" s="9">
        <v>0.8571</v>
      </c>
      <c r="F107" s="10">
        <v>6.857</v>
      </c>
      <c r="G107" s="10">
        <v>8.43</v>
      </c>
      <c r="H107" s="9">
        <v>0.83</v>
      </c>
      <c r="I107" s="10">
        <v>7.023</v>
      </c>
      <c r="J107" s="17"/>
      <c r="K107" s="12"/>
      <c r="L107" s="17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</row>
    <row r="108">
      <c r="A108" s="4" t="s">
        <v>38</v>
      </c>
      <c r="B108" s="4" t="s">
        <v>20</v>
      </c>
      <c r="C108" s="8">
        <v>13.0</v>
      </c>
      <c r="D108" s="8" t="str">
        <f t="shared" si="6"/>
        <v>Economía(13)</v>
      </c>
      <c r="E108" s="9">
        <v>0.8462</v>
      </c>
      <c r="F108" s="10">
        <v>7.577</v>
      </c>
      <c r="G108" s="10">
        <v>7.28</v>
      </c>
      <c r="H108" s="9">
        <v>0.774</v>
      </c>
      <c r="I108" s="10">
        <v>6.525</v>
      </c>
      <c r="J108" s="17"/>
      <c r="K108" s="12"/>
      <c r="L108" s="17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</row>
    <row r="109">
      <c r="A109" s="4" t="s">
        <v>38</v>
      </c>
      <c r="B109" s="4" t="s">
        <v>21</v>
      </c>
      <c r="C109" s="8">
        <v>11.0</v>
      </c>
      <c r="D109" s="8" t="str">
        <f t="shared" si="6"/>
        <v>H. Filosofía(11)</v>
      </c>
      <c r="E109" s="9">
        <v>0.8182</v>
      </c>
      <c r="F109" s="10">
        <v>6.477</v>
      </c>
      <c r="G109" s="10">
        <v>8.5</v>
      </c>
      <c r="H109" s="9">
        <v>0.833</v>
      </c>
      <c r="I109" s="10">
        <v>6.982</v>
      </c>
      <c r="J109" s="17"/>
      <c r="K109" s="12"/>
      <c r="L109" s="17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</row>
    <row r="110">
      <c r="A110" s="4" t="s">
        <v>38</v>
      </c>
      <c r="B110" s="4" t="s">
        <v>22</v>
      </c>
      <c r="C110" s="8">
        <v>6.0</v>
      </c>
      <c r="D110" s="8" t="str">
        <f t="shared" si="6"/>
        <v>H. Arte(6)</v>
      </c>
      <c r="E110" s="9">
        <v>0.8333</v>
      </c>
      <c r="F110" s="10">
        <v>7.25</v>
      </c>
      <c r="G110" s="10">
        <v>7.63</v>
      </c>
      <c r="H110" s="9">
        <v>0.6133</v>
      </c>
      <c r="I110" s="10">
        <v>5.521</v>
      </c>
      <c r="J110" s="17"/>
      <c r="K110" s="12"/>
      <c r="L110" s="17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</row>
    <row r="111">
      <c r="A111" s="4" t="s">
        <v>38</v>
      </c>
      <c r="B111" s="4" t="s">
        <v>23</v>
      </c>
      <c r="C111" s="8">
        <v>10.0</v>
      </c>
      <c r="D111" s="8" t="str">
        <f t="shared" si="6"/>
        <v>Geografía(10)</v>
      </c>
      <c r="E111" s="9">
        <v>0.5</v>
      </c>
      <c r="F111" s="10">
        <v>4.65</v>
      </c>
      <c r="G111" s="10">
        <v>8.33</v>
      </c>
      <c r="H111" s="9">
        <v>0.6936</v>
      </c>
      <c r="I111" s="10">
        <v>5.706</v>
      </c>
      <c r="J111" s="17"/>
      <c r="K111" s="12"/>
      <c r="L111" s="17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</row>
    <row r="112">
      <c r="A112" s="4" t="s">
        <v>38</v>
      </c>
      <c r="B112" s="4" t="s">
        <v>29</v>
      </c>
      <c r="C112" s="8">
        <v>2.0</v>
      </c>
      <c r="D112" s="8" t="str">
        <f t="shared" si="6"/>
        <v>Francés(2)</v>
      </c>
      <c r="E112" s="9">
        <v>1.0</v>
      </c>
      <c r="F112" s="10">
        <v>9.625</v>
      </c>
      <c r="G112" s="10">
        <v>9.67</v>
      </c>
      <c r="H112" s="9">
        <v>0.8947</v>
      </c>
      <c r="I112" s="10">
        <v>7.222</v>
      </c>
      <c r="J112" s="17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</row>
    <row r="113">
      <c r="A113" s="4" t="s">
        <v>38</v>
      </c>
      <c r="B113" s="4" t="s">
        <v>25</v>
      </c>
      <c r="C113" s="13">
        <v>50.0</v>
      </c>
      <c r="D113" s="8" t="str">
        <f t="shared" si="6"/>
        <v>Fase General(50)</v>
      </c>
      <c r="E113" s="9">
        <v>0.88</v>
      </c>
      <c r="F113" s="14">
        <f>IFERROR(__xludf.DUMMYFUNCTION("AVERAGE.WEIGHTED(F99:F103,C99:C103)"),6.441522388059702)</f>
        <v>6.441522388</v>
      </c>
      <c r="G113" s="14">
        <f>IFERROR(__xludf.DUMMYFUNCTION("AVERAGE.WEIGHTED(G99:G103,C99:C103)"),8.002487562189055)</f>
        <v>8.002487562</v>
      </c>
      <c r="H113" s="9">
        <v>0.9024</v>
      </c>
      <c r="I113" s="10">
        <v>6.22</v>
      </c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</row>
    <row r="114">
      <c r="A114" s="4" t="s">
        <v>38</v>
      </c>
      <c r="B114" s="4" t="s">
        <v>26</v>
      </c>
      <c r="C114" s="13">
        <v>50.0</v>
      </c>
      <c r="D114" s="8" t="str">
        <f t="shared" si="6"/>
        <v>Titulan(50)</v>
      </c>
      <c r="E114" s="9">
        <v>1.0</v>
      </c>
      <c r="F114" s="14"/>
      <c r="G114" s="14"/>
      <c r="H114" s="9"/>
      <c r="I114" s="10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</row>
    <row r="115">
      <c r="C115" s="1"/>
      <c r="D115" s="8"/>
      <c r="E115" s="2" t="s">
        <v>39</v>
      </c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</row>
    <row r="116">
      <c r="A116" s="4"/>
      <c r="C116" s="1"/>
      <c r="D116" s="8"/>
      <c r="E116" s="2" t="s">
        <v>1</v>
      </c>
      <c r="G116" s="2"/>
      <c r="H116" s="3" t="s">
        <v>2</v>
      </c>
    </row>
    <row r="117">
      <c r="A117" s="4"/>
      <c r="B117" s="4" t="s">
        <v>3</v>
      </c>
      <c r="C117" s="5" t="s">
        <v>4</v>
      </c>
      <c r="D117" s="8"/>
      <c r="E117" s="6" t="s">
        <v>5</v>
      </c>
      <c r="F117" s="6" t="s">
        <v>6</v>
      </c>
      <c r="G117" s="6" t="s">
        <v>7</v>
      </c>
      <c r="H117" s="7" t="s">
        <v>8</v>
      </c>
      <c r="I117" s="6" t="s">
        <v>9</v>
      </c>
    </row>
    <row r="118">
      <c r="A118" s="4" t="s">
        <v>40</v>
      </c>
      <c r="B118" s="4" t="s">
        <v>11</v>
      </c>
      <c r="C118" s="8">
        <v>36.0</v>
      </c>
      <c r="D118" s="8" t="str">
        <f t="shared" ref="D118:D133" si="7">Concatenate(B118,"(",C118,")")</f>
        <v>Lengua(36)</v>
      </c>
      <c r="E118" s="9">
        <v>0.6944</v>
      </c>
      <c r="F118" s="10">
        <v>5.646</v>
      </c>
      <c r="G118" s="10">
        <v>6.53</v>
      </c>
      <c r="H118" s="9">
        <v>0.803</v>
      </c>
      <c r="I118" s="10">
        <v>6.434</v>
      </c>
    </row>
    <row r="119">
      <c r="A119" s="4" t="s">
        <v>40</v>
      </c>
      <c r="B119" s="4" t="s">
        <v>12</v>
      </c>
      <c r="C119" s="8">
        <v>36.0</v>
      </c>
      <c r="D119" s="8" t="str">
        <f t="shared" si="7"/>
        <v>Inglés(36)</v>
      </c>
      <c r="E119" s="9">
        <v>0.8056</v>
      </c>
      <c r="F119" s="10">
        <v>6.472</v>
      </c>
      <c r="G119" s="10">
        <v>6.6</v>
      </c>
      <c r="H119" s="9">
        <v>0.8045</v>
      </c>
      <c r="I119" s="10">
        <v>6.782</v>
      </c>
    </row>
    <row r="120">
      <c r="A120" s="4" t="s">
        <v>40</v>
      </c>
      <c r="B120" s="4" t="s">
        <v>13</v>
      </c>
      <c r="C120" s="8">
        <v>36.0</v>
      </c>
      <c r="D120" s="8" t="str">
        <f t="shared" si="7"/>
        <v>Historia(36)</v>
      </c>
      <c r="E120" s="9">
        <v>0.5833</v>
      </c>
      <c r="F120" s="10">
        <v>5.819</v>
      </c>
      <c r="G120" s="10">
        <v>7.07</v>
      </c>
      <c r="H120" s="9">
        <v>0.6415</v>
      </c>
      <c r="I120" s="10">
        <v>5.752</v>
      </c>
    </row>
    <row r="121">
      <c r="A121" s="4" t="s">
        <v>40</v>
      </c>
      <c r="B121" s="4" t="s">
        <v>14</v>
      </c>
      <c r="C121" s="8">
        <v>17.0</v>
      </c>
      <c r="D121" s="8" t="str">
        <f t="shared" si="7"/>
        <v>Mate(17)</v>
      </c>
      <c r="E121" s="9">
        <v>0.8824</v>
      </c>
      <c r="F121" s="18">
        <v>6.868</v>
      </c>
      <c r="G121" s="18">
        <v>7.38</v>
      </c>
      <c r="H121" s="9">
        <v>0.7366</v>
      </c>
      <c r="I121" s="10">
        <v>6.244</v>
      </c>
    </row>
    <row r="122">
      <c r="A122" s="4" t="s">
        <v>40</v>
      </c>
      <c r="B122" s="4" t="s">
        <v>15</v>
      </c>
      <c r="C122" s="8">
        <v>20.0</v>
      </c>
      <c r="D122" s="8" t="str">
        <f t="shared" si="7"/>
        <v>Mate CCSS(20)</v>
      </c>
      <c r="E122" s="9">
        <v>0.7</v>
      </c>
      <c r="F122" s="10">
        <v>5.875</v>
      </c>
      <c r="G122" s="10">
        <v>6.0</v>
      </c>
      <c r="H122" s="9">
        <v>0.5549</v>
      </c>
      <c r="I122" s="10">
        <v>5.262</v>
      </c>
    </row>
    <row r="123">
      <c r="A123" s="4" t="s">
        <v>40</v>
      </c>
      <c r="B123" s="4" t="s">
        <v>16</v>
      </c>
      <c r="C123" s="4">
        <v>17.0</v>
      </c>
      <c r="D123" s="8" t="str">
        <f t="shared" si="7"/>
        <v>Física(17)</v>
      </c>
      <c r="E123" s="9">
        <v>0.7647</v>
      </c>
      <c r="F123" s="10">
        <v>6.588</v>
      </c>
      <c r="G123" s="10">
        <v>7.62</v>
      </c>
      <c r="H123" s="9">
        <v>0.528</v>
      </c>
      <c r="I123" s="10">
        <v>4.948</v>
      </c>
    </row>
    <row r="124">
      <c r="A124" s="4" t="s">
        <v>40</v>
      </c>
      <c r="B124" s="4" t="s">
        <v>17</v>
      </c>
      <c r="C124" s="4">
        <v>14.0</v>
      </c>
      <c r="D124" s="8" t="str">
        <f t="shared" si="7"/>
        <v>Química(14)</v>
      </c>
      <c r="E124" s="9">
        <v>1.0</v>
      </c>
      <c r="F124" s="10">
        <v>7.179</v>
      </c>
      <c r="G124" s="10">
        <v>7.52</v>
      </c>
      <c r="H124" s="9">
        <v>0.7729</v>
      </c>
      <c r="I124" s="10">
        <v>6.604</v>
      </c>
    </row>
    <row r="125">
      <c r="A125" s="4" t="s">
        <v>40</v>
      </c>
      <c r="B125" s="4" t="s">
        <v>18</v>
      </c>
      <c r="C125" s="4">
        <v>9.0</v>
      </c>
      <c r="D125" s="8" t="str">
        <f t="shared" si="7"/>
        <v>Biología(9)</v>
      </c>
      <c r="E125" s="9">
        <v>0.8889</v>
      </c>
      <c r="F125" s="10">
        <v>7.306</v>
      </c>
      <c r="G125" s="10">
        <v>8.0</v>
      </c>
      <c r="H125" s="9">
        <v>0.781</v>
      </c>
      <c r="I125" s="10">
        <v>6.364</v>
      </c>
    </row>
    <row r="126">
      <c r="A126" s="4" t="s">
        <v>40</v>
      </c>
      <c r="B126" s="4" t="s">
        <v>19</v>
      </c>
      <c r="C126" s="4">
        <v>4.0</v>
      </c>
      <c r="D126" s="8" t="str">
        <f t="shared" si="7"/>
        <v>Dibujo Técnico(4)</v>
      </c>
      <c r="E126" s="9">
        <v>0.5</v>
      </c>
      <c r="F126" s="10">
        <v>4.312</v>
      </c>
      <c r="G126" s="10">
        <v>8.43</v>
      </c>
      <c r="H126" s="9">
        <v>0.4501</v>
      </c>
      <c r="I126" s="10">
        <v>4.701</v>
      </c>
    </row>
    <row r="127">
      <c r="A127" s="4" t="s">
        <v>40</v>
      </c>
      <c r="B127" s="4" t="s">
        <v>20</v>
      </c>
      <c r="C127" s="4">
        <v>14.0</v>
      </c>
      <c r="D127" s="8" t="str">
        <f t="shared" si="7"/>
        <v>Economía(14)</v>
      </c>
      <c r="E127" s="9">
        <v>0.6429</v>
      </c>
      <c r="F127" s="10">
        <v>4.929</v>
      </c>
      <c r="G127" s="10">
        <v>6.08</v>
      </c>
      <c r="H127" s="9">
        <v>0.5865</v>
      </c>
      <c r="I127" s="10">
        <v>5.398</v>
      </c>
    </row>
    <row r="128">
      <c r="A128" s="4" t="s">
        <v>40</v>
      </c>
      <c r="B128" s="4" t="s">
        <v>21</v>
      </c>
      <c r="C128" s="4">
        <v>10.0</v>
      </c>
      <c r="D128" s="8" t="str">
        <f t="shared" si="7"/>
        <v>H. Filosofía(10)</v>
      </c>
      <c r="E128" s="9">
        <v>1.0</v>
      </c>
      <c r="F128" s="10">
        <v>6.556</v>
      </c>
      <c r="G128" s="10">
        <v>7.14</v>
      </c>
      <c r="H128" s="9">
        <v>0.7454</v>
      </c>
      <c r="I128" s="10">
        <v>6.152</v>
      </c>
    </row>
    <row r="129">
      <c r="A129" s="4" t="s">
        <v>40</v>
      </c>
      <c r="B129" s="4" t="s">
        <v>22</v>
      </c>
      <c r="C129" s="4">
        <v>4.0</v>
      </c>
      <c r="D129" s="8" t="str">
        <f t="shared" si="7"/>
        <v>H. Arte(4)</v>
      </c>
      <c r="E129" s="9">
        <v>0.6667</v>
      </c>
      <c r="F129" s="10">
        <v>6.25</v>
      </c>
      <c r="G129" s="10">
        <v>6.2</v>
      </c>
      <c r="H129" s="9">
        <v>0.7649</v>
      </c>
      <c r="I129" s="10">
        <v>6.181</v>
      </c>
    </row>
    <row r="130">
      <c r="A130" s="4" t="s">
        <v>40</v>
      </c>
      <c r="B130" s="4" t="s">
        <v>23</v>
      </c>
      <c r="C130" s="4">
        <v>12.0</v>
      </c>
      <c r="D130" s="8" t="str">
        <f t="shared" si="7"/>
        <v>Geografía(12)</v>
      </c>
      <c r="E130" s="9">
        <v>0.5</v>
      </c>
      <c r="F130" s="10">
        <v>4.375</v>
      </c>
      <c r="G130" s="10">
        <v>6.33</v>
      </c>
      <c r="H130" s="9">
        <v>0.5427</v>
      </c>
      <c r="I130" s="10">
        <v>4.858</v>
      </c>
    </row>
    <row r="131">
      <c r="A131" s="4" t="s">
        <v>40</v>
      </c>
      <c r="B131" s="4" t="s">
        <v>29</v>
      </c>
      <c r="C131" s="4">
        <v>0.0</v>
      </c>
      <c r="D131" s="8" t="str">
        <f t="shared" si="7"/>
        <v>Francés(0)</v>
      </c>
      <c r="E131" s="10">
        <v>0.0</v>
      </c>
      <c r="F131" s="10">
        <v>0.0</v>
      </c>
      <c r="G131" s="10">
        <v>0.0</v>
      </c>
      <c r="H131" s="9">
        <v>0.9043</v>
      </c>
      <c r="I131" s="10">
        <v>6.968</v>
      </c>
    </row>
    <row r="132">
      <c r="A132" s="4" t="s">
        <v>40</v>
      </c>
      <c r="B132" s="4" t="s">
        <v>25</v>
      </c>
      <c r="C132" s="13">
        <v>36.0</v>
      </c>
      <c r="D132" s="8" t="str">
        <f t="shared" si="7"/>
        <v>Fase General(36)</v>
      </c>
      <c r="E132" s="9">
        <v>0.9444</v>
      </c>
      <c r="F132" s="14">
        <f>IFERROR(__xludf.DUMMYFUNCTION("AVERAGE.WEIGHTED(F118:F122,C118:C122)"),6.06888275862069)</f>
        <v>6.068882759</v>
      </c>
      <c r="G132" s="14">
        <f>IFERROR(__xludf.DUMMYFUNCTION("AVERAGE.WEIGHTED(G118:G122,C118:C122)"),6.708)</f>
        <v>6.708</v>
      </c>
      <c r="H132" s="9">
        <v>0.9086</v>
      </c>
      <c r="I132" s="15">
        <v>6.03</v>
      </c>
    </row>
    <row r="133">
      <c r="A133" s="4" t="s">
        <v>40</v>
      </c>
      <c r="B133" s="4" t="s">
        <v>26</v>
      </c>
      <c r="C133" s="13">
        <v>54.0</v>
      </c>
      <c r="D133" s="8" t="str">
        <f t="shared" si="7"/>
        <v>Titulan(54)</v>
      </c>
      <c r="E133" s="9">
        <v>0.6667</v>
      </c>
      <c r="F133" s="14"/>
      <c r="G133" s="14"/>
      <c r="H133" s="9"/>
      <c r="I133" s="15"/>
    </row>
    <row r="134">
      <c r="C134" s="1"/>
      <c r="D134" s="8"/>
      <c r="E134" s="2" t="s">
        <v>41</v>
      </c>
    </row>
    <row r="135">
      <c r="C135" s="1"/>
      <c r="D135" s="8"/>
      <c r="E135" s="2" t="s">
        <v>1</v>
      </c>
      <c r="G135" s="2"/>
      <c r="H135" s="3" t="s">
        <v>2</v>
      </c>
    </row>
    <row r="136">
      <c r="B136" s="4" t="s">
        <v>3</v>
      </c>
      <c r="C136" s="5" t="s">
        <v>4</v>
      </c>
      <c r="D136" s="8"/>
      <c r="E136" s="6" t="s">
        <v>5</v>
      </c>
      <c r="F136" s="6" t="s">
        <v>6</v>
      </c>
      <c r="G136" s="6" t="s">
        <v>7</v>
      </c>
      <c r="H136" s="7" t="s">
        <v>8</v>
      </c>
      <c r="I136" s="6" t="s">
        <v>9</v>
      </c>
    </row>
    <row r="137">
      <c r="A137" s="4" t="s">
        <v>42</v>
      </c>
      <c r="B137" s="4" t="s">
        <v>11</v>
      </c>
      <c r="C137" s="8">
        <v>31.0</v>
      </c>
      <c r="D137" s="8" t="str">
        <f t="shared" ref="D137:D152" si="8">Concatenate(B137,"(",C137,")")</f>
        <v>Lengua(31)</v>
      </c>
      <c r="E137" s="9">
        <v>0.5806</v>
      </c>
      <c r="F137" s="10">
        <v>4.944</v>
      </c>
      <c r="G137" s="10">
        <v>6.46</v>
      </c>
      <c r="H137" s="9">
        <v>0.7434</v>
      </c>
      <c r="I137" s="10">
        <v>5.955</v>
      </c>
    </row>
    <row r="138">
      <c r="A138" s="4" t="s">
        <v>42</v>
      </c>
      <c r="B138" s="4" t="s">
        <v>12</v>
      </c>
      <c r="C138" s="8">
        <v>31.0</v>
      </c>
      <c r="D138" s="8" t="str">
        <f t="shared" si="8"/>
        <v>Inglés(31)</v>
      </c>
      <c r="E138" s="9">
        <v>0.7419</v>
      </c>
      <c r="F138" s="10">
        <v>6.661</v>
      </c>
      <c r="G138" s="10">
        <v>6.62</v>
      </c>
      <c r="H138" s="9">
        <v>0.779</v>
      </c>
      <c r="I138" s="10">
        <v>6.57</v>
      </c>
    </row>
    <row r="139">
      <c r="A139" s="4" t="s">
        <v>42</v>
      </c>
      <c r="B139" s="4" t="s">
        <v>13</v>
      </c>
      <c r="C139" s="8">
        <v>31.0</v>
      </c>
      <c r="D139" s="8" t="str">
        <f t="shared" si="8"/>
        <v>Historia(31)</v>
      </c>
      <c r="E139" s="9">
        <v>0.7097</v>
      </c>
      <c r="F139" s="10">
        <v>5.661</v>
      </c>
      <c r="G139" s="10">
        <v>7.15</v>
      </c>
      <c r="H139" s="9">
        <v>0.6754</v>
      </c>
      <c r="I139" s="10">
        <v>5.88</v>
      </c>
    </row>
    <row r="140">
      <c r="A140" s="4" t="s">
        <v>42</v>
      </c>
      <c r="B140" s="4" t="s">
        <v>14</v>
      </c>
      <c r="C140" s="8">
        <v>18.0</v>
      </c>
      <c r="D140" s="8" t="str">
        <f t="shared" si="8"/>
        <v>Mate(18)</v>
      </c>
      <c r="E140" s="9">
        <v>0.3889</v>
      </c>
      <c r="F140" s="18">
        <v>5.042</v>
      </c>
      <c r="G140" s="18">
        <v>6.78</v>
      </c>
      <c r="H140" s="9">
        <v>0.6645</v>
      </c>
      <c r="I140" s="10">
        <v>5.701</v>
      </c>
    </row>
    <row r="141">
      <c r="A141" s="4" t="s">
        <v>42</v>
      </c>
      <c r="B141" s="4" t="s">
        <v>15</v>
      </c>
      <c r="C141" s="8">
        <v>15.0</v>
      </c>
      <c r="D141" s="8" t="str">
        <f t="shared" si="8"/>
        <v>Mate CCSS(15)</v>
      </c>
      <c r="E141" s="9">
        <v>1.0</v>
      </c>
      <c r="F141" s="10">
        <v>7.35</v>
      </c>
      <c r="G141" s="10">
        <v>6.19</v>
      </c>
      <c r="H141" s="9">
        <v>0.8323</v>
      </c>
      <c r="I141" s="10">
        <v>7.046</v>
      </c>
    </row>
    <row r="142">
      <c r="A142" s="4" t="s">
        <v>42</v>
      </c>
      <c r="B142" s="4" t="s">
        <v>16</v>
      </c>
      <c r="C142" s="8">
        <v>15.0</v>
      </c>
      <c r="D142" s="8" t="str">
        <f t="shared" si="8"/>
        <v>Física(15)</v>
      </c>
      <c r="E142" s="9">
        <v>0.5333</v>
      </c>
      <c r="F142" s="10">
        <v>5.95</v>
      </c>
      <c r="G142" s="10">
        <v>7.35</v>
      </c>
      <c r="H142" s="9">
        <v>0.5652</v>
      </c>
      <c r="I142" s="10">
        <v>5.255</v>
      </c>
    </row>
    <row r="143">
      <c r="A143" s="4" t="s">
        <v>42</v>
      </c>
      <c r="B143" s="4" t="s">
        <v>17</v>
      </c>
      <c r="C143" s="8">
        <v>14.0</v>
      </c>
      <c r="D143" s="8" t="str">
        <f t="shared" si="8"/>
        <v>Química(14)</v>
      </c>
      <c r="E143" s="9">
        <v>0.8571</v>
      </c>
      <c r="F143" s="10">
        <v>6.393</v>
      </c>
      <c r="G143" s="10">
        <v>6.57</v>
      </c>
      <c r="H143" s="9">
        <v>0.7198</v>
      </c>
      <c r="I143" s="10">
        <v>6.094</v>
      </c>
    </row>
    <row r="144">
      <c r="A144" s="4" t="s">
        <v>42</v>
      </c>
      <c r="B144" s="4" t="s">
        <v>18</v>
      </c>
      <c r="C144" s="8">
        <v>9.0</v>
      </c>
      <c r="D144" s="8" t="str">
        <f t="shared" si="8"/>
        <v>Biología(9)</v>
      </c>
      <c r="E144" s="9">
        <v>0.8889</v>
      </c>
      <c r="F144" s="10">
        <v>6.778</v>
      </c>
      <c r="G144" s="10">
        <v>7.15</v>
      </c>
      <c r="H144" s="9">
        <v>0.7085</v>
      </c>
      <c r="I144" s="10">
        <v>5.995</v>
      </c>
    </row>
    <row r="145">
      <c r="A145" s="4" t="s">
        <v>42</v>
      </c>
      <c r="B145" s="4" t="s">
        <v>19</v>
      </c>
      <c r="C145" s="8">
        <v>6.0</v>
      </c>
      <c r="D145" s="8" t="str">
        <f t="shared" si="8"/>
        <v>Dibujo Técnico(6)</v>
      </c>
      <c r="E145" s="9">
        <v>0.5</v>
      </c>
      <c r="F145" s="10">
        <v>5.917</v>
      </c>
      <c r="G145" s="10">
        <v>7.8</v>
      </c>
      <c r="H145" s="9">
        <v>0.6129</v>
      </c>
      <c r="I145" s="10">
        <v>5.514</v>
      </c>
    </row>
    <row r="146">
      <c r="A146" s="4" t="s">
        <v>42</v>
      </c>
      <c r="B146" s="4" t="s">
        <v>20</v>
      </c>
      <c r="C146" s="8">
        <v>7.0</v>
      </c>
      <c r="D146" s="8" t="str">
        <f t="shared" si="8"/>
        <v>Economía(7)</v>
      </c>
      <c r="E146" s="9">
        <v>0.8571</v>
      </c>
      <c r="F146" s="10">
        <v>7.643</v>
      </c>
      <c r="G146" s="10">
        <v>6.0</v>
      </c>
      <c r="H146" s="9">
        <v>0.7101</v>
      </c>
      <c r="I146" s="10">
        <v>6.185</v>
      </c>
    </row>
    <row r="147">
      <c r="A147" s="4" t="s">
        <v>42</v>
      </c>
      <c r="B147" s="4" t="s">
        <v>21</v>
      </c>
      <c r="C147" s="8">
        <v>4.0</v>
      </c>
      <c r="D147" s="8" t="str">
        <f t="shared" si="8"/>
        <v>H. Filosofía(4)</v>
      </c>
      <c r="E147" s="9">
        <v>0.0</v>
      </c>
      <c r="F147" s="10">
        <v>3.312</v>
      </c>
      <c r="G147" s="10">
        <v>6.13</v>
      </c>
      <c r="H147" s="9">
        <v>0.7187</v>
      </c>
      <c r="I147" s="10">
        <v>6.093</v>
      </c>
    </row>
    <row r="148">
      <c r="A148" s="4" t="s">
        <v>42</v>
      </c>
      <c r="B148" s="4" t="s">
        <v>22</v>
      </c>
      <c r="C148" s="8">
        <v>6.0</v>
      </c>
      <c r="D148" s="8" t="str">
        <f t="shared" si="8"/>
        <v>H. Arte(6)</v>
      </c>
      <c r="E148" s="9">
        <v>0.8333</v>
      </c>
      <c r="F148" s="10">
        <v>6.5</v>
      </c>
      <c r="G148" s="10">
        <v>7.13</v>
      </c>
      <c r="H148" s="9">
        <v>0.7664</v>
      </c>
      <c r="I148" s="10">
        <v>6.298</v>
      </c>
    </row>
    <row r="149">
      <c r="A149" s="4" t="s">
        <v>42</v>
      </c>
      <c r="B149" s="4" t="s">
        <v>23</v>
      </c>
      <c r="C149" s="8">
        <v>8.0</v>
      </c>
      <c r="D149" s="8" t="str">
        <f t="shared" si="8"/>
        <v>Geografía(8)</v>
      </c>
      <c r="E149" s="9">
        <v>0.375</v>
      </c>
      <c r="F149" s="10">
        <v>4.75</v>
      </c>
      <c r="G149" s="10">
        <v>6.94</v>
      </c>
      <c r="H149" s="9">
        <v>0.6803</v>
      </c>
      <c r="I149" s="10">
        <v>5.528</v>
      </c>
    </row>
    <row r="150">
      <c r="A150" s="4" t="s">
        <v>42</v>
      </c>
      <c r="B150" s="4" t="s">
        <v>29</v>
      </c>
      <c r="C150" s="8">
        <v>0.0</v>
      </c>
      <c r="D150" s="8" t="str">
        <f t="shared" si="8"/>
        <v>Francés(0)</v>
      </c>
      <c r="E150" s="9">
        <v>0.0</v>
      </c>
      <c r="F150" s="10">
        <v>0.0</v>
      </c>
      <c r="G150" s="10">
        <v>0.0</v>
      </c>
      <c r="H150" s="9">
        <v>0.9032</v>
      </c>
      <c r="I150" s="10">
        <v>7.051</v>
      </c>
    </row>
    <row r="151">
      <c r="A151" s="4" t="s">
        <v>42</v>
      </c>
      <c r="B151" s="4" t="s">
        <v>25</v>
      </c>
      <c r="C151" s="13">
        <v>31.0</v>
      </c>
      <c r="D151" s="8" t="str">
        <f t="shared" si="8"/>
        <v>Fase General(31)</v>
      </c>
      <c r="E151" s="9">
        <v>0.9355</v>
      </c>
      <c r="F151" s="14">
        <f>IFERROR(__xludf.DUMMYFUNCTION("AVERAGE.WEIGHTED(F137:F141,C137:C141)"),5.843269841269841)</f>
        <v>5.843269841</v>
      </c>
      <c r="G151" s="14">
        <f>IFERROR(__xludf.DUMMYFUNCTION("AVERAGE.WEIGHTED(G137:G141,C137:C141)"),6.682698412698413)</f>
        <v>6.682698413</v>
      </c>
      <c r="H151" s="9">
        <v>0.9226</v>
      </c>
      <c r="I151" s="15">
        <v>6.11</v>
      </c>
    </row>
    <row r="152">
      <c r="A152" s="4" t="s">
        <v>42</v>
      </c>
      <c r="B152" s="4" t="s">
        <v>26</v>
      </c>
      <c r="C152" s="13">
        <v>44.0</v>
      </c>
      <c r="D152" s="8" t="str">
        <f t="shared" si="8"/>
        <v>Titulan(44)</v>
      </c>
      <c r="E152" s="9">
        <v>0.7045</v>
      </c>
      <c r="F152" s="14"/>
      <c r="G152" s="14"/>
      <c r="H152" s="9"/>
      <c r="I152" s="15"/>
    </row>
    <row r="153">
      <c r="C153" s="1"/>
      <c r="D153" s="8"/>
      <c r="E153" s="2" t="s">
        <v>43</v>
      </c>
    </row>
    <row r="154">
      <c r="C154" s="1"/>
      <c r="D154" s="8"/>
      <c r="E154" s="2" t="s">
        <v>1</v>
      </c>
      <c r="G154" s="2"/>
      <c r="H154" s="3" t="s">
        <v>2</v>
      </c>
    </row>
    <row r="155">
      <c r="B155" s="4" t="s">
        <v>3</v>
      </c>
      <c r="C155" s="5" t="s">
        <v>4</v>
      </c>
      <c r="D155" s="8"/>
      <c r="E155" s="6" t="s">
        <v>5</v>
      </c>
      <c r="F155" s="6" t="s">
        <v>6</v>
      </c>
      <c r="G155" s="6" t="s">
        <v>7</v>
      </c>
      <c r="H155" s="7" t="s">
        <v>8</v>
      </c>
      <c r="I155" s="6" t="s">
        <v>9</v>
      </c>
    </row>
    <row r="156">
      <c r="A156" s="4" t="s">
        <v>44</v>
      </c>
      <c r="B156" s="4" t="s">
        <v>11</v>
      </c>
      <c r="C156" s="8">
        <v>35.0</v>
      </c>
      <c r="D156" s="8" t="str">
        <f t="shared" ref="D156:D171" si="9">Concatenate(B156,"(",C156,")")</f>
        <v>Lengua(35)</v>
      </c>
      <c r="E156" s="9">
        <v>0.6</v>
      </c>
      <c r="F156" s="10">
        <v>5.5</v>
      </c>
      <c r="G156" s="10">
        <v>6.43</v>
      </c>
      <c r="H156" s="9">
        <v>0.7856</v>
      </c>
      <c r="I156" s="10">
        <v>6.165</v>
      </c>
    </row>
    <row r="157">
      <c r="A157" s="4" t="s">
        <v>44</v>
      </c>
      <c r="B157" s="4" t="s">
        <v>12</v>
      </c>
      <c r="C157" s="8">
        <v>35.0</v>
      </c>
      <c r="D157" s="8" t="str">
        <f t="shared" si="9"/>
        <v>Inglés(35)</v>
      </c>
      <c r="E157" s="9">
        <v>0.8286</v>
      </c>
      <c r="F157" s="10">
        <v>6.043</v>
      </c>
      <c r="G157" s="10">
        <v>6.73</v>
      </c>
      <c r="H157" s="9">
        <v>0.7648</v>
      </c>
      <c r="I157" s="10">
        <v>6.521</v>
      </c>
    </row>
    <row r="158">
      <c r="A158" s="4" t="s">
        <v>44</v>
      </c>
      <c r="B158" s="4" t="s">
        <v>13</v>
      </c>
      <c r="C158" s="8">
        <v>35.0</v>
      </c>
      <c r="D158" s="8" t="str">
        <f t="shared" si="9"/>
        <v>Historia(35)</v>
      </c>
      <c r="E158" s="9">
        <v>0.6571</v>
      </c>
      <c r="F158" s="10">
        <v>5.421</v>
      </c>
      <c r="G158" s="10">
        <v>6.95</v>
      </c>
      <c r="H158" s="9">
        <v>0.6388</v>
      </c>
      <c r="I158" s="10">
        <v>5.642</v>
      </c>
    </row>
    <row r="159">
      <c r="A159" s="4" t="s">
        <v>44</v>
      </c>
      <c r="B159" s="4" t="s">
        <v>14</v>
      </c>
      <c r="C159" s="8">
        <v>20.0</v>
      </c>
      <c r="D159" s="8" t="str">
        <f t="shared" si="9"/>
        <v>Mate(20)</v>
      </c>
      <c r="E159" s="9">
        <v>0.8</v>
      </c>
      <c r="F159" s="18">
        <v>6.912</v>
      </c>
      <c r="G159" s="18">
        <v>7.0</v>
      </c>
      <c r="H159" s="9">
        <v>0.7602</v>
      </c>
      <c r="I159" s="10">
        <v>6.498</v>
      </c>
    </row>
    <row r="160">
      <c r="A160" s="4" t="s">
        <v>44</v>
      </c>
      <c r="B160" s="4" t="s">
        <v>15</v>
      </c>
      <c r="C160" s="8">
        <v>16.0</v>
      </c>
      <c r="D160" s="8" t="str">
        <f t="shared" si="9"/>
        <v>Mate CCSS(16)</v>
      </c>
      <c r="E160" s="9">
        <v>0.875</v>
      </c>
      <c r="F160" s="10">
        <v>7.172</v>
      </c>
      <c r="G160" s="10">
        <v>7.0</v>
      </c>
      <c r="H160" s="9">
        <v>0.5865</v>
      </c>
      <c r="I160" s="10">
        <v>5.216</v>
      </c>
    </row>
    <row r="161">
      <c r="A161" s="4" t="s">
        <v>44</v>
      </c>
      <c r="B161" s="4" t="s">
        <v>16</v>
      </c>
      <c r="C161" s="8">
        <v>18.0</v>
      </c>
      <c r="D161" s="8" t="str">
        <f t="shared" si="9"/>
        <v>Física(18)</v>
      </c>
      <c r="E161" s="9">
        <v>0.7778</v>
      </c>
      <c r="F161" s="10">
        <v>6.458</v>
      </c>
      <c r="G161" s="10">
        <v>6.86</v>
      </c>
      <c r="H161" s="9">
        <v>0.667</v>
      </c>
      <c r="I161" s="10">
        <v>5.722</v>
      </c>
    </row>
    <row r="162">
      <c r="A162" s="4" t="s">
        <v>44</v>
      </c>
      <c r="B162" s="4" t="s">
        <v>17</v>
      </c>
      <c r="C162" s="8">
        <v>11.0</v>
      </c>
      <c r="D162" s="8" t="str">
        <f t="shared" si="9"/>
        <v>Química(11)</v>
      </c>
      <c r="E162" s="9">
        <v>0.5455</v>
      </c>
      <c r="F162" s="10">
        <v>4.523</v>
      </c>
      <c r="G162" s="10">
        <v>6.95</v>
      </c>
      <c r="H162" s="9">
        <v>0.5361</v>
      </c>
      <c r="I162" s="10">
        <v>4.932</v>
      </c>
    </row>
    <row r="163">
      <c r="A163" s="4" t="s">
        <v>44</v>
      </c>
      <c r="B163" s="4" t="s">
        <v>18</v>
      </c>
      <c r="C163" s="8">
        <v>6.0</v>
      </c>
      <c r="D163" s="8" t="str">
        <f t="shared" si="9"/>
        <v>Biología(6)</v>
      </c>
      <c r="E163" s="9">
        <v>1.0</v>
      </c>
      <c r="F163" s="10">
        <v>7.292</v>
      </c>
      <c r="G163" s="10">
        <v>7.09</v>
      </c>
      <c r="H163" s="9">
        <v>0.8633</v>
      </c>
      <c r="I163" s="10">
        <v>6.964</v>
      </c>
    </row>
    <row r="164">
      <c r="A164" s="4" t="s">
        <v>44</v>
      </c>
      <c r="B164" s="4" t="s">
        <v>19</v>
      </c>
      <c r="C164" s="8">
        <v>2.0</v>
      </c>
      <c r="D164" s="8" t="str">
        <f t="shared" si="9"/>
        <v>Dibujo Técnico(2)</v>
      </c>
      <c r="E164" s="9">
        <v>0.5</v>
      </c>
      <c r="F164" s="10">
        <v>4.625</v>
      </c>
      <c r="G164" s="10">
        <v>7.55</v>
      </c>
      <c r="H164" s="9">
        <v>0.4482</v>
      </c>
      <c r="I164" s="10">
        <v>4.51</v>
      </c>
    </row>
    <row r="165">
      <c r="A165" s="4" t="s">
        <v>44</v>
      </c>
      <c r="B165" s="4" t="s">
        <v>20</v>
      </c>
      <c r="C165" s="8">
        <v>12.0</v>
      </c>
      <c r="D165" s="8" t="str">
        <f t="shared" si="9"/>
        <v>Economía(12)</v>
      </c>
      <c r="E165" s="9">
        <v>1.0</v>
      </c>
      <c r="F165" s="10">
        <v>7.583</v>
      </c>
      <c r="G165" s="10">
        <v>6.72</v>
      </c>
      <c r="H165" s="9">
        <v>0.6987</v>
      </c>
      <c r="I165" s="10">
        <v>5.793</v>
      </c>
    </row>
    <row r="166">
      <c r="A166" s="4" t="s">
        <v>44</v>
      </c>
      <c r="B166" s="4" t="s">
        <v>21</v>
      </c>
      <c r="C166" s="8">
        <v>13.0</v>
      </c>
      <c r="D166" s="8" t="str">
        <f t="shared" si="9"/>
        <v>H. Filosofía(13)</v>
      </c>
      <c r="E166" s="9">
        <v>0.7692</v>
      </c>
      <c r="F166" s="10">
        <v>6.423</v>
      </c>
      <c r="G166" s="10">
        <v>7.37</v>
      </c>
      <c r="H166" s="9">
        <v>0.7077</v>
      </c>
      <c r="I166" s="10">
        <v>5.97</v>
      </c>
    </row>
    <row r="167">
      <c r="A167" s="4" t="s">
        <v>44</v>
      </c>
      <c r="B167" s="4" t="s">
        <v>22</v>
      </c>
      <c r="C167" s="8">
        <v>0.0</v>
      </c>
      <c r="D167" s="8" t="str">
        <f t="shared" si="9"/>
        <v>H. Arte(0)</v>
      </c>
      <c r="E167" s="9">
        <v>0.0</v>
      </c>
      <c r="F167" s="10">
        <v>0.0</v>
      </c>
      <c r="G167" s="10">
        <v>0.0</v>
      </c>
      <c r="H167" s="9">
        <v>0.7101</v>
      </c>
      <c r="I167" s="10">
        <v>5.686</v>
      </c>
    </row>
    <row r="168">
      <c r="A168" s="4" t="s">
        <v>44</v>
      </c>
      <c r="B168" s="4" t="s">
        <v>23</v>
      </c>
      <c r="C168" s="8">
        <v>3.0</v>
      </c>
      <c r="D168" s="8" t="str">
        <f t="shared" si="9"/>
        <v>Geografía(3)</v>
      </c>
      <c r="E168" s="9">
        <v>0.6667</v>
      </c>
      <c r="F168" s="10">
        <v>5.583</v>
      </c>
      <c r="G168" s="10">
        <v>6.72</v>
      </c>
      <c r="H168" s="9">
        <v>0.7448</v>
      </c>
      <c r="I168" s="10">
        <v>6.016</v>
      </c>
    </row>
    <row r="169">
      <c r="A169" s="4" t="s">
        <v>44</v>
      </c>
      <c r="B169" s="4" t="s">
        <v>29</v>
      </c>
      <c r="C169" s="8">
        <v>0.0</v>
      </c>
      <c r="D169" s="8" t="str">
        <f t="shared" si="9"/>
        <v>Francés(0)</v>
      </c>
      <c r="E169" s="9">
        <v>0.0</v>
      </c>
      <c r="F169" s="10">
        <v>0.0</v>
      </c>
      <c r="G169" s="10">
        <v>0.0</v>
      </c>
      <c r="H169" s="9">
        <v>1.0</v>
      </c>
      <c r="I169" s="10">
        <v>7.353</v>
      </c>
    </row>
    <row r="170">
      <c r="A170" s="4" t="s">
        <v>44</v>
      </c>
      <c r="B170" s="4" t="s">
        <v>25</v>
      </c>
      <c r="C170" s="19">
        <v>35.0</v>
      </c>
      <c r="D170" s="8" t="str">
        <f t="shared" si="9"/>
        <v>Fase General(35)</v>
      </c>
      <c r="E170" s="9">
        <v>0.9429</v>
      </c>
      <c r="F170" s="14">
        <f>IFERROR(__xludf.DUMMYFUNCTION("AVERAGE.WEIGHTED(F156:F160,C156:C160)"),6.005191489361702)</f>
        <v>6.005191489</v>
      </c>
      <c r="G170" s="14">
        <f>IFERROR(__xludf.DUMMYFUNCTION("AVERAGE.WEIGHTED(G156:G160,C156:C160)"),6.779078014184397)</f>
        <v>6.779078014</v>
      </c>
      <c r="H170" s="9">
        <v>0.8896</v>
      </c>
      <c r="I170" s="10">
        <v>5.97</v>
      </c>
    </row>
    <row r="171">
      <c r="A171" s="4" t="s">
        <v>44</v>
      </c>
      <c r="B171" s="4" t="s">
        <v>26</v>
      </c>
      <c r="C171" s="19">
        <v>45.0</v>
      </c>
      <c r="D171" s="8" t="str">
        <f t="shared" si="9"/>
        <v>Titulan(45)</v>
      </c>
      <c r="E171" s="9">
        <v>0.7778</v>
      </c>
      <c r="F171" s="14"/>
      <c r="G171" s="14"/>
      <c r="H171" s="9"/>
      <c r="I171" s="10"/>
    </row>
    <row r="172">
      <c r="C172" s="20"/>
      <c r="D172" s="20"/>
      <c r="H172" s="21"/>
    </row>
    <row r="173">
      <c r="C173" s="20"/>
      <c r="D173" s="20"/>
      <c r="H173" s="21"/>
    </row>
    <row r="174">
      <c r="C174" s="20"/>
      <c r="D174" s="20"/>
      <c r="H174" s="21"/>
    </row>
    <row r="175">
      <c r="C175" s="20"/>
      <c r="D175" s="20"/>
      <c r="H175" s="21"/>
    </row>
    <row r="176">
      <c r="C176" s="20"/>
      <c r="D176" s="20"/>
      <c r="H176" s="21"/>
    </row>
    <row r="177">
      <c r="C177" s="20"/>
      <c r="D177" s="20"/>
      <c r="H177" s="21"/>
    </row>
    <row r="178">
      <c r="C178" s="20"/>
      <c r="D178" s="20"/>
      <c r="H178" s="21"/>
    </row>
    <row r="179">
      <c r="C179" s="20"/>
      <c r="D179" s="20"/>
      <c r="H179" s="21"/>
    </row>
    <row r="180">
      <c r="C180" s="20"/>
      <c r="D180" s="20"/>
      <c r="H180" s="21"/>
    </row>
    <row r="181">
      <c r="C181" s="20"/>
      <c r="D181" s="20"/>
      <c r="H181" s="21"/>
    </row>
    <row r="182">
      <c r="C182" s="20"/>
      <c r="D182" s="20"/>
      <c r="H182" s="21"/>
    </row>
    <row r="183">
      <c r="C183" s="20"/>
      <c r="D183" s="20"/>
      <c r="H183" s="21"/>
    </row>
    <row r="184">
      <c r="C184" s="20"/>
      <c r="D184" s="20"/>
      <c r="H184" s="21"/>
    </row>
    <row r="185">
      <c r="C185" s="20"/>
      <c r="D185" s="20"/>
      <c r="H185" s="21"/>
    </row>
    <row r="186">
      <c r="C186" s="20"/>
      <c r="D186" s="20"/>
      <c r="H186" s="21"/>
    </row>
    <row r="187">
      <c r="C187" s="20"/>
      <c r="D187" s="20"/>
      <c r="H187" s="21"/>
    </row>
    <row r="188">
      <c r="C188" s="20"/>
      <c r="D188" s="20"/>
      <c r="H188" s="21"/>
    </row>
    <row r="189">
      <c r="C189" s="20"/>
      <c r="D189" s="20"/>
      <c r="H189" s="21"/>
    </row>
    <row r="190">
      <c r="C190" s="20"/>
      <c r="D190" s="20"/>
      <c r="H190" s="21"/>
    </row>
    <row r="191">
      <c r="C191" s="20"/>
      <c r="D191" s="20"/>
      <c r="H191" s="21"/>
    </row>
    <row r="192">
      <c r="C192" s="20"/>
      <c r="D192" s="20"/>
      <c r="H192" s="21"/>
    </row>
    <row r="193">
      <c r="C193" s="20"/>
      <c r="D193" s="20"/>
      <c r="H193" s="21"/>
    </row>
    <row r="194">
      <c r="C194" s="20"/>
      <c r="D194" s="20"/>
      <c r="H194" s="21"/>
    </row>
    <row r="195">
      <c r="C195" s="20"/>
      <c r="D195" s="20"/>
      <c r="H195" s="21"/>
    </row>
    <row r="196">
      <c r="C196" s="20"/>
      <c r="D196" s="20"/>
      <c r="H196" s="21"/>
    </row>
    <row r="197">
      <c r="C197" s="20"/>
      <c r="D197" s="20"/>
      <c r="H197" s="21"/>
    </row>
    <row r="198">
      <c r="C198" s="20"/>
      <c r="D198" s="20"/>
      <c r="H198" s="21"/>
    </row>
    <row r="199">
      <c r="C199" s="20"/>
      <c r="D199" s="20"/>
      <c r="H199" s="21"/>
    </row>
    <row r="200">
      <c r="C200" s="20"/>
      <c r="D200" s="20"/>
      <c r="H200" s="21"/>
    </row>
    <row r="201">
      <c r="C201" s="20"/>
      <c r="D201" s="20"/>
      <c r="H201" s="21"/>
    </row>
    <row r="202">
      <c r="C202" s="20"/>
      <c r="D202" s="20"/>
      <c r="H202" s="21"/>
    </row>
    <row r="203">
      <c r="C203" s="20"/>
      <c r="D203" s="20"/>
      <c r="H203" s="21"/>
    </row>
    <row r="204">
      <c r="C204" s="20"/>
      <c r="D204" s="20"/>
      <c r="H204" s="21"/>
    </row>
    <row r="205">
      <c r="C205" s="20"/>
      <c r="D205" s="20"/>
      <c r="H205" s="21"/>
    </row>
    <row r="206">
      <c r="C206" s="20"/>
      <c r="D206" s="20"/>
      <c r="H206" s="21"/>
    </row>
    <row r="207">
      <c r="C207" s="20"/>
      <c r="D207" s="20"/>
      <c r="H207" s="21"/>
    </row>
    <row r="208">
      <c r="C208" s="20"/>
      <c r="D208" s="20"/>
      <c r="H208" s="21"/>
    </row>
    <row r="209">
      <c r="C209" s="20"/>
      <c r="D209" s="20"/>
      <c r="H209" s="21"/>
    </row>
    <row r="210">
      <c r="C210" s="20"/>
      <c r="D210" s="20"/>
      <c r="H210" s="21"/>
    </row>
    <row r="211">
      <c r="C211" s="20"/>
      <c r="D211" s="20"/>
      <c r="H211" s="21"/>
    </row>
    <row r="212">
      <c r="C212" s="20"/>
      <c r="D212" s="20"/>
      <c r="H212" s="21"/>
    </row>
    <row r="213">
      <c r="C213" s="20"/>
      <c r="D213" s="20"/>
      <c r="H213" s="21"/>
    </row>
    <row r="214">
      <c r="C214" s="20"/>
      <c r="D214" s="20"/>
      <c r="H214" s="21"/>
    </row>
    <row r="215">
      <c r="C215" s="20"/>
      <c r="D215" s="20"/>
      <c r="H215" s="21"/>
    </row>
    <row r="216">
      <c r="C216" s="20"/>
      <c r="D216" s="20"/>
      <c r="H216" s="21"/>
    </row>
    <row r="217">
      <c r="C217" s="20"/>
      <c r="D217" s="20"/>
      <c r="H217" s="21"/>
    </row>
    <row r="218">
      <c r="C218" s="20"/>
      <c r="D218" s="20"/>
      <c r="H218" s="21"/>
    </row>
    <row r="219">
      <c r="C219" s="20"/>
      <c r="D219" s="20"/>
      <c r="H219" s="21"/>
    </row>
    <row r="220">
      <c r="C220" s="20"/>
      <c r="D220" s="20"/>
      <c r="H220" s="21"/>
    </row>
    <row r="221">
      <c r="C221" s="20"/>
      <c r="D221" s="20"/>
      <c r="H221" s="21"/>
    </row>
    <row r="222">
      <c r="C222" s="20"/>
      <c r="D222" s="20"/>
      <c r="H222" s="21"/>
    </row>
    <row r="223">
      <c r="C223" s="20"/>
      <c r="D223" s="20"/>
      <c r="H223" s="21"/>
    </row>
    <row r="224">
      <c r="C224" s="20"/>
      <c r="D224" s="20"/>
      <c r="H224" s="21"/>
    </row>
    <row r="225">
      <c r="C225" s="20"/>
      <c r="D225" s="20"/>
      <c r="H225" s="21"/>
    </row>
    <row r="226">
      <c r="C226" s="20"/>
      <c r="D226" s="20"/>
      <c r="H226" s="21"/>
    </row>
    <row r="227">
      <c r="C227" s="20"/>
      <c r="D227" s="20"/>
      <c r="H227" s="21"/>
    </row>
    <row r="228">
      <c r="C228" s="20"/>
      <c r="D228" s="20"/>
      <c r="H228" s="21"/>
    </row>
    <row r="229">
      <c r="C229" s="20"/>
      <c r="D229" s="20"/>
      <c r="H229" s="21"/>
    </row>
    <row r="230">
      <c r="C230" s="20"/>
      <c r="D230" s="20"/>
      <c r="H230" s="21"/>
    </row>
    <row r="231">
      <c r="C231" s="20"/>
      <c r="D231" s="20"/>
      <c r="H231" s="21"/>
    </row>
    <row r="232">
      <c r="C232" s="20"/>
      <c r="D232" s="20"/>
      <c r="H232" s="21"/>
    </row>
    <row r="233">
      <c r="C233" s="20"/>
      <c r="D233" s="20"/>
      <c r="H233" s="21"/>
    </row>
    <row r="234">
      <c r="C234" s="20"/>
      <c r="D234" s="20"/>
      <c r="H234" s="21"/>
    </row>
    <row r="235">
      <c r="C235" s="20"/>
      <c r="D235" s="20"/>
      <c r="H235" s="21"/>
    </row>
    <row r="236">
      <c r="C236" s="20"/>
      <c r="D236" s="20"/>
      <c r="H236" s="21"/>
    </row>
    <row r="237">
      <c r="C237" s="20"/>
      <c r="D237" s="20"/>
      <c r="H237" s="21"/>
    </row>
    <row r="238">
      <c r="C238" s="20"/>
      <c r="D238" s="20"/>
      <c r="H238" s="21"/>
    </row>
    <row r="239">
      <c r="C239" s="20"/>
      <c r="D239" s="20"/>
      <c r="H239" s="21"/>
    </row>
    <row r="240">
      <c r="C240" s="20"/>
      <c r="D240" s="20"/>
      <c r="H240" s="21"/>
    </row>
    <row r="241">
      <c r="C241" s="20"/>
      <c r="D241" s="20"/>
      <c r="H241" s="21"/>
    </row>
    <row r="242">
      <c r="C242" s="20"/>
      <c r="D242" s="20"/>
      <c r="H242" s="21"/>
    </row>
    <row r="243">
      <c r="C243" s="20"/>
      <c r="D243" s="20"/>
      <c r="H243" s="21"/>
    </row>
    <row r="244">
      <c r="C244" s="20"/>
      <c r="D244" s="20"/>
      <c r="H244" s="21"/>
    </row>
    <row r="245">
      <c r="C245" s="20"/>
      <c r="D245" s="20"/>
      <c r="H245" s="21"/>
    </row>
    <row r="246">
      <c r="C246" s="20"/>
      <c r="D246" s="20"/>
      <c r="H246" s="21"/>
    </row>
    <row r="247">
      <c r="C247" s="20"/>
      <c r="D247" s="20"/>
      <c r="H247" s="21"/>
    </row>
    <row r="248">
      <c r="C248" s="20"/>
      <c r="D248" s="20"/>
      <c r="H248" s="21"/>
    </row>
    <row r="249">
      <c r="C249" s="20"/>
      <c r="D249" s="20"/>
      <c r="H249" s="21"/>
    </row>
    <row r="250">
      <c r="C250" s="20"/>
      <c r="D250" s="20"/>
      <c r="H250" s="21"/>
    </row>
    <row r="251">
      <c r="C251" s="20"/>
      <c r="D251" s="20"/>
      <c r="H251" s="21"/>
    </row>
    <row r="252">
      <c r="C252" s="20"/>
      <c r="D252" s="20"/>
      <c r="H252" s="21"/>
    </row>
    <row r="253">
      <c r="C253" s="20"/>
      <c r="D253" s="20"/>
      <c r="H253" s="21"/>
    </row>
    <row r="254">
      <c r="C254" s="20"/>
      <c r="D254" s="20"/>
      <c r="H254" s="21"/>
    </row>
    <row r="255">
      <c r="C255" s="20"/>
      <c r="D255" s="20"/>
      <c r="H255" s="21"/>
    </row>
    <row r="256">
      <c r="C256" s="20"/>
      <c r="D256" s="20"/>
      <c r="H256" s="21"/>
    </row>
    <row r="257">
      <c r="C257" s="20"/>
      <c r="D257" s="20"/>
      <c r="H257" s="21"/>
    </row>
    <row r="258">
      <c r="C258" s="20"/>
      <c r="D258" s="20"/>
      <c r="H258" s="21"/>
    </row>
    <row r="259">
      <c r="C259" s="20"/>
      <c r="D259" s="20"/>
      <c r="H259" s="21"/>
    </row>
    <row r="260">
      <c r="C260" s="20"/>
      <c r="D260" s="20"/>
      <c r="H260" s="21"/>
    </row>
    <row r="261">
      <c r="C261" s="20"/>
      <c r="D261" s="20"/>
      <c r="H261" s="21"/>
    </row>
    <row r="262">
      <c r="C262" s="20"/>
      <c r="D262" s="20"/>
      <c r="H262" s="21"/>
    </row>
    <row r="263">
      <c r="C263" s="20"/>
      <c r="D263" s="20"/>
      <c r="H263" s="21"/>
    </row>
    <row r="264">
      <c r="C264" s="20"/>
      <c r="D264" s="20"/>
      <c r="H264" s="21"/>
    </row>
    <row r="265">
      <c r="C265" s="20"/>
      <c r="D265" s="20"/>
      <c r="H265" s="21"/>
    </row>
    <row r="266">
      <c r="C266" s="20"/>
      <c r="D266" s="20"/>
      <c r="H266" s="21"/>
    </row>
    <row r="267">
      <c r="C267" s="20"/>
      <c r="D267" s="20"/>
      <c r="H267" s="21"/>
    </row>
    <row r="268">
      <c r="C268" s="20"/>
      <c r="D268" s="20"/>
      <c r="H268" s="21"/>
    </row>
    <row r="269">
      <c r="C269" s="20"/>
      <c r="D269" s="20"/>
      <c r="H269" s="21"/>
    </row>
    <row r="270">
      <c r="C270" s="20"/>
      <c r="D270" s="20"/>
      <c r="H270" s="21"/>
    </row>
    <row r="271">
      <c r="C271" s="20"/>
      <c r="D271" s="20"/>
      <c r="H271" s="21"/>
    </row>
    <row r="272">
      <c r="C272" s="20"/>
      <c r="D272" s="20"/>
      <c r="H272" s="21"/>
    </row>
    <row r="273">
      <c r="C273" s="20"/>
      <c r="D273" s="20"/>
      <c r="H273" s="21"/>
    </row>
    <row r="274">
      <c r="C274" s="20"/>
      <c r="D274" s="20"/>
      <c r="H274" s="21"/>
    </row>
    <row r="275">
      <c r="C275" s="20"/>
      <c r="D275" s="20"/>
      <c r="H275" s="21"/>
    </row>
    <row r="276">
      <c r="C276" s="20"/>
      <c r="D276" s="20"/>
      <c r="H276" s="21"/>
    </row>
    <row r="277">
      <c r="C277" s="20"/>
      <c r="D277" s="20"/>
      <c r="H277" s="21"/>
    </row>
    <row r="278">
      <c r="C278" s="20"/>
      <c r="D278" s="20"/>
      <c r="H278" s="21"/>
    </row>
    <row r="279">
      <c r="C279" s="20"/>
      <c r="D279" s="20"/>
      <c r="H279" s="21"/>
    </row>
    <row r="280">
      <c r="C280" s="20"/>
      <c r="D280" s="20"/>
      <c r="H280" s="21"/>
    </row>
    <row r="281">
      <c r="C281" s="20"/>
      <c r="D281" s="20"/>
      <c r="H281" s="21"/>
    </row>
    <row r="282">
      <c r="C282" s="20"/>
      <c r="D282" s="20"/>
      <c r="H282" s="21"/>
    </row>
    <row r="283">
      <c r="C283" s="20"/>
      <c r="D283" s="20"/>
      <c r="H283" s="21"/>
    </row>
    <row r="284">
      <c r="C284" s="20"/>
      <c r="D284" s="20"/>
      <c r="H284" s="21"/>
    </row>
    <row r="285">
      <c r="C285" s="20"/>
      <c r="D285" s="20"/>
      <c r="H285" s="21"/>
    </row>
    <row r="286">
      <c r="C286" s="20"/>
      <c r="D286" s="20"/>
      <c r="H286" s="21"/>
    </row>
    <row r="287">
      <c r="C287" s="20"/>
      <c r="D287" s="20"/>
      <c r="H287" s="21"/>
    </row>
    <row r="288">
      <c r="C288" s="20"/>
      <c r="D288" s="20"/>
      <c r="H288" s="21"/>
    </row>
    <row r="289">
      <c r="C289" s="20"/>
      <c r="D289" s="20"/>
      <c r="H289" s="21"/>
    </row>
    <row r="290">
      <c r="C290" s="20"/>
      <c r="D290" s="20"/>
      <c r="H290" s="21"/>
    </row>
    <row r="291">
      <c r="C291" s="20"/>
      <c r="D291" s="20"/>
      <c r="H291" s="21"/>
    </row>
    <row r="292">
      <c r="C292" s="20"/>
      <c r="D292" s="20"/>
      <c r="H292" s="21"/>
    </row>
    <row r="293">
      <c r="C293" s="20"/>
      <c r="D293" s="20"/>
      <c r="H293" s="21"/>
    </row>
    <row r="294">
      <c r="C294" s="20"/>
      <c r="D294" s="20"/>
      <c r="H294" s="21"/>
    </row>
    <row r="295">
      <c r="C295" s="20"/>
      <c r="D295" s="20"/>
      <c r="H295" s="21"/>
    </row>
    <row r="296">
      <c r="C296" s="20"/>
      <c r="D296" s="20"/>
      <c r="H296" s="21"/>
    </row>
    <row r="297">
      <c r="C297" s="20"/>
      <c r="D297" s="20"/>
      <c r="H297" s="21"/>
    </row>
    <row r="298">
      <c r="C298" s="20"/>
      <c r="D298" s="20"/>
      <c r="H298" s="21"/>
    </row>
    <row r="299">
      <c r="C299" s="20"/>
      <c r="D299" s="20"/>
      <c r="H299" s="21"/>
    </row>
    <row r="300">
      <c r="C300" s="20"/>
      <c r="D300" s="20"/>
      <c r="H300" s="21"/>
    </row>
    <row r="301">
      <c r="C301" s="20"/>
      <c r="D301" s="20"/>
      <c r="H301" s="21"/>
    </row>
    <row r="302">
      <c r="C302" s="20"/>
      <c r="D302" s="20"/>
      <c r="H302" s="21"/>
    </row>
    <row r="303">
      <c r="C303" s="20"/>
      <c r="D303" s="20"/>
      <c r="H303" s="21"/>
    </row>
    <row r="304">
      <c r="C304" s="20"/>
      <c r="D304" s="20"/>
      <c r="H304" s="21"/>
    </row>
    <row r="305">
      <c r="C305" s="20"/>
      <c r="D305" s="20"/>
      <c r="H305" s="21"/>
    </row>
    <row r="306">
      <c r="C306" s="20"/>
      <c r="D306" s="20"/>
      <c r="H306" s="21"/>
    </row>
    <row r="307">
      <c r="C307" s="20"/>
      <c r="D307" s="20"/>
      <c r="H307" s="21"/>
    </row>
    <row r="308">
      <c r="C308" s="20"/>
      <c r="D308" s="20"/>
      <c r="H308" s="21"/>
    </row>
    <row r="309">
      <c r="C309" s="20"/>
      <c r="D309" s="20"/>
      <c r="H309" s="21"/>
    </row>
    <row r="310">
      <c r="C310" s="20"/>
      <c r="D310" s="20"/>
      <c r="H310" s="21"/>
    </row>
    <row r="311">
      <c r="C311" s="20"/>
      <c r="D311" s="20"/>
      <c r="H311" s="21"/>
    </row>
    <row r="312">
      <c r="C312" s="20"/>
      <c r="D312" s="20"/>
      <c r="H312" s="21"/>
    </row>
    <row r="313">
      <c r="C313" s="20"/>
      <c r="D313" s="20"/>
      <c r="H313" s="21"/>
    </row>
    <row r="314">
      <c r="C314" s="20"/>
      <c r="D314" s="20"/>
      <c r="H314" s="21"/>
    </row>
    <row r="315">
      <c r="C315" s="20"/>
      <c r="D315" s="20"/>
      <c r="H315" s="21"/>
    </row>
    <row r="316">
      <c r="C316" s="20"/>
      <c r="D316" s="20"/>
      <c r="H316" s="21"/>
    </row>
    <row r="317">
      <c r="C317" s="20"/>
      <c r="D317" s="20"/>
      <c r="H317" s="21"/>
    </row>
    <row r="318">
      <c r="C318" s="20"/>
      <c r="D318" s="20"/>
      <c r="H318" s="21"/>
    </row>
    <row r="319">
      <c r="C319" s="20"/>
      <c r="D319" s="20"/>
      <c r="H319" s="21"/>
    </row>
    <row r="320">
      <c r="C320" s="20"/>
      <c r="D320" s="20"/>
      <c r="H320" s="21"/>
    </row>
    <row r="321">
      <c r="C321" s="20"/>
      <c r="D321" s="20"/>
      <c r="H321" s="21"/>
    </row>
    <row r="322">
      <c r="C322" s="20"/>
      <c r="D322" s="20"/>
      <c r="H322" s="21"/>
    </row>
    <row r="323">
      <c r="C323" s="20"/>
      <c r="D323" s="20"/>
      <c r="H323" s="21"/>
    </row>
    <row r="324">
      <c r="C324" s="20"/>
      <c r="D324" s="20"/>
      <c r="H324" s="21"/>
    </row>
    <row r="325">
      <c r="C325" s="20"/>
      <c r="D325" s="20"/>
      <c r="H325" s="21"/>
    </row>
    <row r="326">
      <c r="C326" s="20"/>
      <c r="D326" s="20"/>
      <c r="H326" s="21"/>
    </row>
    <row r="327">
      <c r="C327" s="20"/>
      <c r="D327" s="20"/>
      <c r="H327" s="21"/>
    </row>
    <row r="328">
      <c r="C328" s="20"/>
      <c r="D328" s="20"/>
      <c r="H328" s="21"/>
    </row>
    <row r="329">
      <c r="C329" s="20"/>
      <c r="D329" s="20"/>
      <c r="H329" s="21"/>
    </row>
    <row r="330">
      <c r="C330" s="20"/>
      <c r="D330" s="20"/>
      <c r="H330" s="21"/>
    </row>
    <row r="331">
      <c r="C331" s="20"/>
      <c r="D331" s="20"/>
      <c r="H331" s="21"/>
    </row>
    <row r="332">
      <c r="C332" s="20"/>
      <c r="D332" s="20"/>
      <c r="H332" s="21"/>
    </row>
    <row r="333">
      <c r="C333" s="20"/>
      <c r="D333" s="20"/>
      <c r="H333" s="21"/>
    </row>
    <row r="334">
      <c r="C334" s="20"/>
      <c r="D334" s="20"/>
      <c r="H334" s="21"/>
    </row>
    <row r="335">
      <c r="C335" s="20"/>
      <c r="D335" s="20"/>
      <c r="H335" s="21"/>
    </row>
    <row r="336">
      <c r="C336" s="20"/>
      <c r="D336" s="20"/>
      <c r="H336" s="21"/>
    </row>
    <row r="337">
      <c r="C337" s="20"/>
      <c r="D337" s="20"/>
      <c r="H337" s="21"/>
    </row>
    <row r="338">
      <c r="C338" s="20"/>
      <c r="D338" s="20"/>
      <c r="H338" s="21"/>
    </row>
    <row r="339">
      <c r="C339" s="20"/>
      <c r="D339" s="20"/>
      <c r="H339" s="21"/>
    </row>
    <row r="340">
      <c r="C340" s="20"/>
      <c r="D340" s="20"/>
      <c r="H340" s="21"/>
    </row>
    <row r="341">
      <c r="C341" s="20"/>
      <c r="D341" s="20"/>
      <c r="H341" s="21"/>
    </row>
    <row r="342">
      <c r="C342" s="20"/>
      <c r="D342" s="20"/>
      <c r="H342" s="21"/>
    </row>
    <row r="343">
      <c r="C343" s="20"/>
      <c r="D343" s="20"/>
      <c r="H343" s="21"/>
    </row>
    <row r="344">
      <c r="C344" s="20"/>
      <c r="D344" s="20"/>
      <c r="H344" s="21"/>
    </row>
    <row r="345">
      <c r="C345" s="20"/>
      <c r="D345" s="20"/>
      <c r="H345" s="21"/>
    </row>
    <row r="346">
      <c r="C346" s="20"/>
      <c r="D346" s="20"/>
      <c r="H346" s="21"/>
    </row>
    <row r="347">
      <c r="C347" s="20"/>
      <c r="D347" s="20"/>
      <c r="H347" s="21"/>
    </row>
    <row r="348">
      <c r="C348" s="20"/>
      <c r="D348" s="20"/>
      <c r="H348" s="21"/>
    </row>
    <row r="349">
      <c r="C349" s="20"/>
      <c r="D349" s="20"/>
      <c r="H349" s="21"/>
    </row>
    <row r="350">
      <c r="C350" s="20"/>
      <c r="D350" s="20"/>
      <c r="H350" s="21"/>
    </row>
    <row r="351">
      <c r="C351" s="20"/>
      <c r="D351" s="20"/>
      <c r="H351" s="21"/>
    </row>
    <row r="352">
      <c r="C352" s="20"/>
      <c r="D352" s="20"/>
      <c r="H352" s="21"/>
    </row>
    <row r="353">
      <c r="C353" s="20"/>
      <c r="D353" s="20"/>
      <c r="H353" s="21"/>
    </row>
    <row r="354">
      <c r="C354" s="20"/>
      <c r="D354" s="20"/>
      <c r="H354" s="21"/>
    </row>
    <row r="355">
      <c r="C355" s="20"/>
      <c r="D355" s="20"/>
      <c r="H355" s="21"/>
    </row>
    <row r="356">
      <c r="C356" s="20"/>
      <c r="D356" s="20"/>
      <c r="H356" s="21"/>
    </row>
    <row r="357">
      <c r="C357" s="20"/>
      <c r="D357" s="20"/>
      <c r="H357" s="21"/>
    </row>
    <row r="358">
      <c r="C358" s="20"/>
      <c r="D358" s="20"/>
      <c r="H358" s="21"/>
    </row>
    <row r="359">
      <c r="C359" s="20"/>
      <c r="D359" s="20"/>
      <c r="H359" s="21"/>
    </row>
    <row r="360">
      <c r="C360" s="20"/>
      <c r="D360" s="20"/>
      <c r="H360" s="21"/>
    </row>
    <row r="361">
      <c r="C361" s="20"/>
      <c r="D361" s="20"/>
      <c r="H361" s="21"/>
    </row>
    <row r="362">
      <c r="C362" s="20"/>
      <c r="D362" s="20"/>
      <c r="H362" s="21"/>
    </row>
    <row r="363">
      <c r="C363" s="20"/>
      <c r="D363" s="20"/>
      <c r="H363" s="21"/>
    </row>
    <row r="364">
      <c r="C364" s="20"/>
      <c r="D364" s="20"/>
      <c r="H364" s="21"/>
    </row>
    <row r="365">
      <c r="C365" s="20"/>
      <c r="D365" s="20"/>
      <c r="H365" s="21"/>
    </row>
    <row r="366">
      <c r="C366" s="20"/>
      <c r="D366" s="20"/>
      <c r="H366" s="21"/>
    </row>
    <row r="367">
      <c r="C367" s="20"/>
      <c r="D367" s="20"/>
      <c r="H367" s="21"/>
    </row>
    <row r="368">
      <c r="C368" s="20"/>
      <c r="D368" s="20"/>
      <c r="H368" s="21"/>
    </row>
    <row r="369">
      <c r="C369" s="20"/>
      <c r="D369" s="20"/>
      <c r="H369" s="21"/>
    </row>
    <row r="370">
      <c r="C370" s="20"/>
      <c r="D370" s="20"/>
      <c r="H370" s="21"/>
    </row>
    <row r="371">
      <c r="C371" s="20"/>
      <c r="D371" s="20"/>
      <c r="H371" s="21"/>
    </row>
    <row r="372">
      <c r="C372" s="20"/>
      <c r="D372" s="20"/>
      <c r="H372" s="21"/>
    </row>
    <row r="373">
      <c r="C373" s="20"/>
      <c r="D373" s="20"/>
      <c r="H373" s="21"/>
    </row>
    <row r="374">
      <c r="C374" s="20"/>
      <c r="D374" s="20"/>
      <c r="H374" s="21"/>
    </row>
    <row r="375">
      <c r="C375" s="20"/>
      <c r="D375" s="20"/>
      <c r="H375" s="21"/>
    </row>
    <row r="376">
      <c r="C376" s="20"/>
      <c r="D376" s="20"/>
      <c r="H376" s="21"/>
    </row>
    <row r="377">
      <c r="C377" s="20"/>
      <c r="D377" s="20"/>
      <c r="H377" s="21"/>
    </row>
    <row r="378">
      <c r="C378" s="20"/>
      <c r="D378" s="20"/>
      <c r="H378" s="21"/>
    </row>
    <row r="379">
      <c r="C379" s="20"/>
      <c r="D379" s="20"/>
      <c r="H379" s="21"/>
    </row>
    <row r="380">
      <c r="C380" s="20"/>
      <c r="D380" s="20"/>
      <c r="H380" s="21"/>
    </row>
    <row r="381">
      <c r="C381" s="20"/>
      <c r="D381" s="20"/>
      <c r="H381" s="21"/>
    </row>
    <row r="382">
      <c r="C382" s="20"/>
      <c r="D382" s="20"/>
      <c r="H382" s="21"/>
    </row>
    <row r="383">
      <c r="C383" s="20"/>
      <c r="D383" s="20"/>
      <c r="H383" s="21"/>
    </row>
    <row r="384">
      <c r="C384" s="20"/>
      <c r="D384" s="20"/>
      <c r="H384" s="21"/>
    </row>
    <row r="385">
      <c r="C385" s="20"/>
      <c r="D385" s="20"/>
      <c r="H385" s="21"/>
    </row>
    <row r="386">
      <c r="C386" s="20"/>
      <c r="D386" s="20"/>
      <c r="H386" s="21"/>
    </row>
    <row r="387">
      <c r="C387" s="20"/>
      <c r="D387" s="20"/>
      <c r="H387" s="21"/>
    </row>
    <row r="388">
      <c r="C388" s="20"/>
      <c r="D388" s="20"/>
      <c r="H388" s="21"/>
    </row>
    <row r="389">
      <c r="C389" s="20"/>
      <c r="D389" s="20"/>
      <c r="H389" s="21"/>
    </row>
    <row r="390">
      <c r="C390" s="20"/>
      <c r="D390" s="20"/>
      <c r="H390" s="21"/>
    </row>
    <row r="391">
      <c r="C391" s="20"/>
      <c r="D391" s="20"/>
      <c r="H391" s="21"/>
    </row>
    <row r="392">
      <c r="C392" s="20"/>
      <c r="D392" s="20"/>
      <c r="H392" s="21"/>
    </row>
    <row r="393">
      <c r="C393" s="20"/>
      <c r="D393" s="20"/>
      <c r="H393" s="21"/>
    </row>
    <row r="394">
      <c r="C394" s="20"/>
      <c r="D394" s="20"/>
      <c r="H394" s="21"/>
    </row>
    <row r="395">
      <c r="C395" s="20"/>
      <c r="D395" s="20"/>
      <c r="H395" s="21"/>
    </row>
    <row r="396">
      <c r="C396" s="20"/>
      <c r="D396" s="20"/>
      <c r="H396" s="21"/>
    </row>
    <row r="397">
      <c r="C397" s="20"/>
      <c r="D397" s="20"/>
      <c r="H397" s="21"/>
    </row>
    <row r="398">
      <c r="C398" s="20"/>
      <c r="D398" s="20"/>
      <c r="H398" s="21"/>
    </row>
    <row r="399">
      <c r="C399" s="20"/>
      <c r="D399" s="20"/>
      <c r="H399" s="21"/>
    </row>
    <row r="400">
      <c r="C400" s="20"/>
      <c r="D400" s="20"/>
      <c r="H400" s="21"/>
    </row>
    <row r="401">
      <c r="C401" s="20"/>
      <c r="D401" s="20"/>
      <c r="H401" s="21"/>
    </row>
    <row r="402">
      <c r="C402" s="20"/>
      <c r="D402" s="20"/>
      <c r="H402" s="21"/>
    </row>
    <row r="403">
      <c r="C403" s="20"/>
      <c r="D403" s="20"/>
      <c r="H403" s="21"/>
    </row>
    <row r="404">
      <c r="C404" s="20"/>
      <c r="D404" s="20"/>
      <c r="H404" s="21"/>
    </row>
    <row r="405">
      <c r="C405" s="20"/>
      <c r="D405" s="20"/>
      <c r="H405" s="21"/>
    </row>
    <row r="406">
      <c r="C406" s="20"/>
      <c r="D406" s="20"/>
      <c r="H406" s="21"/>
    </row>
    <row r="407">
      <c r="C407" s="20"/>
      <c r="D407" s="20"/>
      <c r="H407" s="21"/>
    </row>
    <row r="408">
      <c r="C408" s="20"/>
      <c r="D408" s="20"/>
      <c r="H408" s="21"/>
    </row>
    <row r="409">
      <c r="C409" s="20"/>
      <c r="D409" s="20"/>
      <c r="H409" s="21"/>
    </row>
    <row r="410">
      <c r="C410" s="20"/>
      <c r="D410" s="20"/>
      <c r="H410" s="21"/>
    </row>
    <row r="411">
      <c r="C411" s="20"/>
      <c r="D411" s="20"/>
      <c r="H411" s="21"/>
    </row>
    <row r="412">
      <c r="C412" s="20"/>
      <c r="D412" s="20"/>
      <c r="H412" s="21"/>
    </row>
    <row r="413">
      <c r="C413" s="20"/>
      <c r="D413" s="20"/>
      <c r="H413" s="21"/>
    </row>
    <row r="414">
      <c r="C414" s="20"/>
      <c r="D414" s="20"/>
      <c r="H414" s="21"/>
    </row>
    <row r="415">
      <c r="C415" s="20"/>
      <c r="D415" s="20"/>
      <c r="H415" s="21"/>
    </row>
    <row r="416">
      <c r="C416" s="20"/>
      <c r="D416" s="20"/>
      <c r="H416" s="21"/>
    </row>
    <row r="417">
      <c r="C417" s="20"/>
      <c r="D417" s="20"/>
      <c r="H417" s="21"/>
    </row>
    <row r="418">
      <c r="C418" s="20"/>
      <c r="D418" s="20"/>
      <c r="H418" s="21"/>
    </row>
    <row r="419">
      <c r="C419" s="20"/>
      <c r="D419" s="20"/>
      <c r="H419" s="21"/>
    </row>
    <row r="420">
      <c r="C420" s="20"/>
      <c r="D420" s="20"/>
      <c r="H420" s="21"/>
    </row>
    <row r="421">
      <c r="C421" s="20"/>
      <c r="D421" s="20"/>
      <c r="H421" s="21"/>
    </row>
    <row r="422">
      <c r="C422" s="20"/>
      <c r="D422" s="20"/>
      <c r="H422" s="21"/>
    </row>
    <row r="423">
      <c r="C423" s="20"/>
      <c r="D423" s="20"/>
      <c r="H423" s="21"/>
    </row>
    <row r="424">
      <c r="C424" s="20"/>
      <c r="D424" s="20"/>
      <c r="H424" s="21"/>
    </row>
    <row r="425">
      <c r="C425" s="20"/>
      <c r="D425" s="20"/>
      <c r="H425" s="21"/>
    </row>
    <row r="426">
      <c r="C426" s="20"/>
      <c r="D426" s="20"/>
      <c r="H426" s="21"/>
    </row>
    <row r="427">
      <c r="C427" s="20"/>
      <c r="D427" s="20"/>
      <c r="H427" s="21"/>
    </row>
    <row r="428">
      <c r="C428" s="20"/>
      <c r="D428" s="20"/>
      <c r="H428" s="21"/>
    </row>
    <row r="429">
      <c r="C429" s="20"/>
      <c r="D429" s="20"/>
      <c r="H429" s="21"/>
    </row>
    <row r="430">
      <c r="C430" s="20"/>
      <c r="D430" s="20"/>
      <c r="H430" s="21"/>
    </row>
    <row r="431">
      <c r="C431" s="20"/>
      <c r="D431" s="20"/>
      <c r="H431" s="21"/>
    </row>
    <row r="432">
      <c r="C432" s="20"/>
      <c r="D432" s="20"/>
      <c r="H432" s="21"/>
    </row>
    <row r="433">
      <c r="C433" s="20"/>
      <c r="D433" s="20"/>
      <c r="H433" s="21"/>
    </row>
    <row r="434">
      <c r="C434" s="20"/>
      <c r="D434" s="20"/>
      <c r="H434" s="21"/>
    </row>
    <row r="435">
      <c r="C435" s="20"/>
      <c r="D435" s="20"/>
      <c r="H435" s="21"/>
    </row>
    <row r="436">
      <c r="C436" s="20"/>
      <c r="D436" s="20"/>
      <c r="H436" s="21"/>
    </row>
    <row r="437">
      <c r="C437" s="20"/>
      <c r="D437" s="20"/>
      <c r="H437" s="21"/>
    </row>
    <row r="438">
      <c r="C438" s="20"/>
      <c r="D438" s="20"/>
      <c r="H438" s="21"/>
    </row>
    <row r="439">
      <c r="C439" s="20"/>
      <c r="D439" s="20"/>
      <c r="H439" s="21"/>
    </row>
    <row r="440">
      <c r="C440" s="20"/>
      <c r="D440" s="20"/>
      <c r="H440" s="21"/>
    </row>
    <row r="441">
      <c r="C441" s="20"/>
      <c r="D441" s="20"/>
      <c r="H441" s="21"/>
    </row>
    <row r="442">
      <c r="C442" s="20"/>
      <c r="D442" s="20"/>
      <c r="H442" s="21"/>
    </row>
    <row r="443">
      <c r="C443" s="20"/>
      <c r="D443" s="20"/>
      <c r="H443" s="21"/>
    </row>
    <row r="444">
      <c r="C444" s="20"/>
      <c r="D444" s="20"/>
      <c r="H444" s="21"/>
    </row>
    <row r="445">
      <c r="C445" s="20"/>
      <c r="D445" s="20"/>
      <c r="H445" s="21"/>
    </row>
    <row r="446">
      <c r="C446" s="20"/>
      <c r="D446" s="20"/>
      <c r="H446" s="21"/>
    </row>
    <row r="447">
      <c r="C447" s="20"/>
      <c r="D447" s="20"/>
      <c r="H447" s="21"/>
    </row>
    <row r="448">
      <c r="C448" s="20"/>
      <c r="D448" s="20"/>
      <c r="H448" s="21"/>
    </row>
    <row r="449">
      <c r="C449" s="20"/>
      <c r="D449" s="20"/>
      <c r="H449" s="21"/>
    </row>
    <row r="450">
      <c r="C450" s="20"/>
      <c r="D450" s="20"/>
      <c r="H450" s="21"/>
    </row>
    <row r="451">
      <c r="C451" s="20"/>
      <c r="D451" s="20"/>
      <c r="H451" s="21"/>
    </row>
    <row r="452">
      <c r="C452" s="20"/>
      <c r="D452" s="20"/>
      <c r="H452" s="21"/>
    </row>
    <row r="453">
      <c r="C453" s="20"/>
      <c r="D453" s="20"/>
      <c r="H453" s="21"/>
    </row>
    <row r="454">
      <c r="C454" s="20"/>
      <c r="D454" s="20"/>
      <c r="H454" s="21"/>
    </row>
    <row r="455">
      <c r="C455" s="20"/>
      <c r="D455" s="20"/>
      <c r="H455" s="21"/>
    </row>
    <row r="456">
      <c r="C456" s="20"/>
      <c r="D456" s="20"/>
      <c r="H456" s="21"/>
    </row>
    <row r="457">
      <c r="C457" s="20"/>
      <c r="D457" s="20"/>
      <c r="H457" s="21"/>
    </row>
    <row r="458">
      <c r="C458" s="20"/>
      <c r="D458" s="20"/>
      <c r="H458" s="21"/>
    </row>
    <row r="459">
      <c r="C459" s="20"/>
      <c r="D459" s="20"/>
      <c r="H459" s="21"/>
    </row>
    <row r="460">
      <c r="C460" s="20"/>
      <c r="D460" s="20"/>
      <c r="H460" s="21"/>
    </row>
    <row r="461">
      <c r="C461" s="20"/>
      <c r="D461" s="20"/>
      <c r="H461" s="21"/>
    </row>
    <row r="462">
      <c r="C462" s="20"/>
      <c r="D462" s="20"/>
      <c r="H462" s="21"/>
    </row>
    <row r="463">
      <c r="C463" s="20"/>
      <c r="D463" s="20"/>
      <c r="H463" s="21"/>
    </row>
    <row r="464">
      <c r="C464" s="20"/>
      <c r="D464" s="20"/>
      <c r="H464" s="21"/>
    </row>
    <row r="465">
      <c r="C465" s="20"/>
      <c r="D465" s="20"/>
      <c r="H465" s="21"/>
    </row>
    <row r="466">
      <c r="C466" s="20"/>
      <c r="D466" s="20"/>
      <c r="H466" s="21"/>
    </row>
    <row r="467">
      <c r="C467" s="20"/>
      <c r="D467" s="20"/>
      <c r="H467" s="21"/>
    </row>
    <row r="468">
      <c r="C468" s="20"/>
      <c r="D468" s="20"/>
      <c r="H468" s="21"/>
    </row>
    <row r="469">
      <c r="C469" s="20"/>
      <c r="D469" s="20"/>
      <c r="H469" s="21"/>
    </row>
    <row r="470">
      <c r="C470" s="20"/>
      <c r="D470" s="20"/>
      <c r="H470" s="21"/>
    </row>
    <row r="471">
      <c r="C471" s="20"/>
      <c r="D471" s="20"/>
      <c r="H471" s="21"/>
    </row>
    <row r="472">
      <c r="C472" s="20"/>
      <c r="D472" s="20"/>
      <c r="H472" s="21"/>
    </row>
    <row r="473">
      <c r="C473" s="20"/>
      <c r="D473" s="20"/>
      <c r="H473" s="21"/>
    </row>
    <row r="474">
      <c r="C474" s="20"/>
      <c r="D474" s="20"/>
      <c r="H474" s="21"/>
    </row>
    <row r="475">
      <c r="C475" s="20"/>
      <c r="D475" s="20"/>
      <c r="H475" s="21"/>
    </row>
    <row r="476">
      <c r="C476" s="20"/>
      <c r="D476" s="20"/>
      <c r="H476" s="21"/>
    </row>
    <row r="477">
      <c r="C477" s="20"/>
      <c r="D477" s="20"/>
      <c r="H477" s="21"/>
    </row>
    <row r="478">
      <c r="C478" s="20"/>
      <c r="D478" s="20"/>
      <c r="H478" s="21"/>
    </row>
    <row r="479">
      <c r="C479" s="20"/>
      <c r="D479" s="20"/>
      <c r="H479" s="21"/>
    </row>
    <row r="480">
      <c r="C480" s="20"/>
      <c r="D480" s="20"/>
      <c r="H480" s="21"/>
    </row>
    <row r="481">
      <c r="C481" s="20"/>
      <c r="D481" s="20"/>
      <c r="H481" s="21"/>
    </row>
    <row r="482">
      <c r="C482" s="20"/>
      <c r="D482" s="20"/>
      <c r="H482" s="21"/>
    </row>
    <row r="483">
      <c r="C483" s="20"/>
      <c r="D483" s="20"/>
      <c r="H483" s="21"/>
    </row>
    <row r="484">
      <c r="C484" s="20"/>
      <c r="D484" s="20"/>
      <c r="H484" s="21"/>
    </row>
    <row r="485">
      <c r="C485" s="20"/>
      <c r="D485" s="20"/>
      <c r="H485" s="21"/>
    </row>
    <row r="486">
      <c r="C486" s="20"/>
      <c r="D486" s="20"/>
      <c r="H486" s="21"/>
    </row>
    <row r="487">
      <c r="C487" s="20"/>
      <c r="D487" s="20"/>
      <c r="H487" s="21"/>
    </row>
    <row r="488">
      <c r="C488" s="20"/>
      <c r="D488" s="20"/>
      <c r="H488" s="21"/>
    </row>
    <row r="489">
      <c r="C489" s="20"/>
      <c r="D489" s="20"/>
      <c r="H489" s="21"/>
    </row>
    <row r="490">
      <c r="C490" s="20"/>
      <c r="D490" s="20"/>
      <c r="H490" s="21"/>
    </row>
    <row r="491">
      <c r="C491" s="20"/>
      <c r="D491" s="20"/>
      <c r="H491" s="21"/>
    </row>
    <row r="492">
      <c r="C492" s="20"/>
      <c r="D492" s="20"/>
      <c r="H492" s="21"/>
    </row>
    <row r="493">
      <c r="C493" s="20"/>
      <c r="D493" s="20"/>
      <c r="H493" s="21"/>
    </row>
    <row r="494">
      <c r="C494" s="20"/>
      <c r="D494" s="20"/>
      <c r="H494" s="21"/>
    </row>
    <row r="495">
      <c r="C495" s="20"/>
      <c r="D495" s="20"/>
      <c r="H495" s="21"/>
    </row>
    <row r="496">
      <c r="C496" s="20"/>
      <c r="D496" s="20"/>
      <c r="H496" s="21"/>
    </row>
    <row r="497">
      <c r="C497" s="20"/>
      <c r="D497" s="20"/>
      <c r="H497" s="21"/>
    </row>
    <row r="498">
      <c r="C498" s="20"/>
      <c r="D498" s="20"/>
      <c r="H498" s="21"/>
    </row>
    <row r="499">
      <c r="C499" s="20"/>
      <c r="D499" s="20"/>
      <c r="H499" s="21"/>
    </row>
    <row r="500">
      <c r="C500" s="20"/>
      <c r="D500" s="20"/>
      <c r="H500" s="21"/>
    </row>
    <row r="501">
      <c r="C501" s="20"/>
      <c r="D501" s="20"/>
      <c r="H501" s="21"/>
    </row>
    <row r="502">
      <c r="C502" s="20"/>
      <c r="D502" s="20"/>
      <c r="H502" s="21"/>
    </row>
    <row r="503">
      <c r="C503" s="20"/>
      <c r="D503" s="20"/>
      <c r="H503" s="21"/>
    </row>
    <row r="504">
      <c r="C504" s="20"/>
      <c r="D504" s="20"/>
      <c r="H504" s="21"/>
    </row>
    <row r="505">
      <c r="C505" s="20"/>
      <c r="D505" s="20"/>
      <c r="H505" s="21"/>
    </row>
    <row r="506">
      <c r="C506" s="20"/>
      <c r="D506" s="20"/>
      <c r="H506" s="21"/>
    </row>
    <row r="507">
      <c r="C507" s="20"/>
      <c r="D507" s="20"/>
      <c r="H507" s="21"/>
    </row>
    <row r="508">
      <c r="C508" s="20"/>
      <c r="D508" s="20"/>
      <c r="H508" s="21"/>
    </row>
    <row r="509">
      <c r="C509" s="20"/>
      <c r="D509" s="20"/>
      <c r="H509" s="21"/>
    </row>
    <row r="510">
      <c r="C510" s="20"/>
      <c r="D510" s="20"/>
      <c r="H510" s="21"/>
    </row>
    <row r="511">
      <c r="C511" s="20"/>
      <c r="D511" s="20"/>
      <c r="H511" s="21"/>
    </row>
    <row r="512">
      <c r="C512" s="20"/>
      <c r="D512" s="20"/>
      <c r="H512" s="21"/>
    </row>
    <row r="513">
      <c r="C513" s="20"/>
      <c r="D513" s="20"/>
      <c r="H513" s="21"/>
    </row>
    <row r="514">
      <c r="C514" s="20"/>
      <c r="D514" s="20"/>
      <c r="H514" s="21"/>
    </row>
    <row r="515">
      <c r="C515" s="20"/>
      <c r="D515" s="20"/>
      <c r="H515" s="21"/>
    </row>
    <row r="516">
      <c r="C516" s="20"/>
      <c r="D516" s="20"/>
      <c r="H516" s="21"/>
    </row>
    <row r="517">
      <c r="C517" s="20"/>
      <c r="D517" s="20"/>
      <c r="H517" s="21"/>
    </row>
    <row r="518">
      <c r="C518" s="20"/>
      <c r="D518" s="20"/>
      <c r="H518" s="21"/>
    </row>
    <row r="519">
      <c r="C519" s="20"/>
      <c r="D519" s="20"/>
      <c r="H519" s="21"/>
    </row>
    <row r="520">
      <c r="C520" s="20"/>
      <c r="D520" s="20"/>
      <c r="H520" s="21"/>
    </row>
    <row r="521">
      <c r="C521" s="20"/>
      <c r="D521" s="20"/>
      <c r="H521" s="21"/>
    </row>
    <row r="522">
      <c r="C522" s="20"/>
      <c r="D522" s="20"/>
      <c r="H522" s="21"/>
    </row>
    <row r="523">
      <c r="C523" s="20"/>
      <c r="D523" s="20"/>
      <c r="H523" s="21"/>
    </row>
    <row r="524">
      <c r="C524" s="20"/>
      <c r="D524" s="20"/>
      <c r="H524" s="21"/>
    </row>
    <row r="525">
      <c r="C525" s="20"/>
      <c r="D525" s="20"/>
      <c r="H525" s="21"/>
    </row>
    <row r="526">
      <c r="C526" s="20"/>
      <c r="D526" s="20"/>
      <c r="H526" s="21"/>
    </row>
    <row r="527">
      <c r="C527" s="20"/>
      <c r="D527" s="20"/>
      <c r="H527" s="21"/>
    </row>
    <row r="528">
      <c r="C528" s="20"/>
      <c r="D528" s="20"/>
      <c r="H528" s="21"/>
    </row>
    <row r="529">
      <c r="C529" s="20"/>
      <c r="D529" s="20"/>
      <c r="H529" s="21"/>
    </row>
    <row r="530">
      <c r="C530" s="20"/>
      <c r="D530" s="20"/>
      <c r="H530" s="21"/>
    </row>
    <row r="531">
      <c r="C531" s="20"/>
      <c r="D531" s="20"/>
      <c r="H531" s="21"/>
    </row>
    <row r="532">
      <c r="C532" s="20"/>
      <c r="D532" s="20"/>
      <c r="H532" s="21"/>
    </row>
    <row r="533">
      <c r="C533" s="20"/>
      <c r="D533" s="20"/>
      <c r="H533" s="21"/>
    </row>
    <row r="534">
      <c r="C534" s="20"/>
      <c r="D534" s="20"/>
      <c r="H534" s="21"/>
    </row>
    <row r="535">
      <c r="C535" s="20"/>
      <c r="D535" s="20"/>
      <c r="H535" s="21"/>
    </row>
    <row r="536">
      <c r="C536" s="20"/>
      <c r="D536" s="20"/>
      <c r="H536" s="21"/>
    </row>
    <row r="537">
      <c r="C537" s="20"/>
      <c r="D537" s="20"/>
      <c r="H537" s="21"/>
    </row>
    <row r="538">
      <c r="C538" s="20"/>
      <c r="D538" s="20"/>
      <c r="H538" s="21"/>
    </row>
    <row r="539">
      <c r="C539" s="20"/>
      <c r="D539" s="20"/>
      <c r="H539" s="21"/>
    </row>
    <row r="540">
      <c r="C540" s="20"/>
      <c r="D540" s="20"/>
      <c r="H540" s="21"/>
    </row>
    <row r="541">
      <c r="C541" s="20"/>
      <c r="D541" s="20"/>
      <c r="H541" s="21"/>
    </row>
    <row r="542">
      <c r="C542" s="20"/>
      <c r="D542" s="20"/>
      <c r="H542" s="21"/>
    </row>
    <row r="543">
      <c r="C543" s="20"/>
      <c r="D543" s="20"/>
      <c r="H543" s="21"/>
    </row>
    <row r="544">
      <c r="C544" s="20"/>
      <c r="D544" s="20"/>
      <c r="H544" s="21"/>
    </row>
    <row r="545">
      <c r="C545" s="20"/>
      <c r="D545" s="20"/>
      <c r="H545" s="21"/>
    </row>
    <row r="546">
      <c r="C546" s="20"/>
      <c r="D546" s="20"/>
      <c r="H546" s="21"/>
    </row>
    <row r="547">
      <c r="C547" s="20"/>
      <c r="D547" s="20"/>
      <c r="H547" s="21"/>
    </row>
    <row r="548">
      <c r="C548" s="20"/>
      <c r="D548" s="20"/>
      <c r="H548" s="21"/>
    </row>
    <row r="549">
      <c r="C549" s="20"/>
      <c r="D549" s="20"/>
      <c r="H549" s="21"/>
    </row>
    <row r="550">
      <c r="C550" s="20"/>
      <c r="D550" s="20"/>
      <c r="H550" s="21"/>
    </row>
    <row r="551">
      <c r="C551" s="20"/>
      <c r="D551" s="20"/>
      <c r="H551" s="21"/>
    </row>
    <row r="552">
      <c r="C552" s="20"/>
      <c r="D552" s="20"/>
      <c r="H552" s="21"/>
    </row>
    <row r="553">
      <c r="C553" s="20"/>
      <c r="D553" s="20"/>
      <c r="H553" s="21"/>
    </row>
    <row r="554">
      <c r="C554" s="20"/>
      <c r="D554" s="20"/>
      <c r="H554" s="21"/>
    </row>
    <row r="555">
      <c r="C555" s="20"/>
      <c r="D555" s="20"/>
      <c r="H555" s="21"/>
    </row>
    <row r="556">
      <c r="C556" s="20"/>
      <c r="D556" s="20"/>
      <c r="H556" s="21"/>
    </row>
    <row r="557">
      <c r="C557" s="20"/>
      <c r="D557" s="20"/>
      <c r="H557" s="21"/>
    </row>
    <row r="558">
      <c r="C558" s="20"/>
      <c r="D558" s="20"/>
      <c r="H558" s="21"/>
    </row>
    <row r="559">
      <c r="C559" s="20"/>
      <c r="D559" s="20"/>
      <c r="H559" s="21"/>
    </row>
    <row r="560">
      <c r="C560" s="20"/>
      <c r="D560" s="20"/>
      <c r="H560" s="21"/>
    </row>
    <row r="561">
      <c r="C561" s="20"/>
      <c r="D561" s="20"/>
      <c r="H561" s="21"/>
    </row>
    <row r="562">
      <c r="C562" s="20"/>
      <c r="D562" s="20"/>
      <c r="H562" s="21"/>
    </row>
    <row r="563">
      <c r="C563" s="20"/>
      <c r="D563" s="20"/>
      <c r="H563" s="21"/>
    </row>
    <row r="564">
      <c r="C564" s="20"/>
      <c r="D564" s="20"/>
      <c r="H564" s="21"/>
    </row>
    <row r="565">
      <c r="C565" s="20"/>
      <c r="D565" s="20"/>
      <c r="H565" s="21"/>
    </row>
    <row r="566">
      <c r="C566" s="20"/>
      <c r="D566" s="20"/>
      <c r="H566" s="21"/>
    </row>
    <row r="567">
      <c r="C567" s="20"/>
      <c r="D567" s="20"/>
      <c r="H567" s="21"/>
    </row>
    <row r="568">
      <c r="C568" s="20"/>
      <c r="D568" s="20"/>
      <c r="H568" s="21"/>
    </row>
    <row r="569">
      <c r="C569" s="20"/>
      <c r="D569" s="20"/>
      <c r="H569" s="21"/>
    </row>
    <row r="570">
      <c r="C570" s="20"/>
      <c r="D570" s="20"/>
      <c r="H570" s="21"/>
    </row>
    <row r="571">
      <c r="C571" s="20"/>
      <c r="D571" s="20"/>
      <c r="H571" s="21"/>
    </row>
    <row r="572">
      <c r="C572" s="20"/>
      <c r="D572" s="20"/>
      <c r="H572" s="21"/>
    </row>
    <row r="573">
      <c r="C573" s="20"/>
      <c r="D573" s="20"/>
      <c r="H573" s="21"/>
    </row>
    <row r="574">
      <c r="C574" s="20"/>
      <c r="D574" s="20"/>
      <c r="H574" s="21"/>
    </row>
    <row r="575">
      <c r="C575" s="20"/>
      <c r="D575" s="20"/>
      <c r="H575" s="21"/>
    </row>
    <row r="576">
      <c r="C576" s="20"/>
      <c r="D576" s="20"/>
      <c r="H576" s="21"/>
    </row>
    <row r="577">
      <c r="C577" s="20"/>
      <c r="D577" s="20"/>
      <c r="H577" s="21"/>
    </row>
    <row r="578">
      <c r="C578" s="20"/>
      <c r="D578" s="20"/>
      <c r="H578" s="21"/>
    </row>
    <row r="579">
      <c r="C579" s="20"/>
      <c r="D579" s="20"/>
      <c r="H579" s="21"/>
    </row>
    <row r="580">
      <c r="C580" s="20"/>
      <c r="D580" s="20"/>
      <c r="H580" s="21"/>
    </row>
    <row r="581">
      <c r="C581" s="20"/>
      <c r="D581" s="20"/>
      <c r="H581" s="21"/>
    </row>
    <row r="582">
      <c r="C582" s="20"/>
      <c r="D582" s="20"/>
      <c r="H582" s="21"/>
    </row>
    <row r="583">
      <c r="C583" s="20"/>
      <c r="D583" s="20"/>
      <c r="H583" s="21"/>
    </row>
    <row r="584">
      <c r="C584" s="20"/>
      <c r="D584" s="20"/>
      <c r="H584" s="21"/>
    </row>
    <row r="585">
      <c r="C585" s="20"/>
      <c r="D585" s="20"/>
      <c r="H585" s="21"/>
    </row>
    <row r="586">
      <c r="C586" s="20"/>
      <c r="D586" s="20"/>
      <c r="H586" s="21"/>
    </row>
    <row r="587">
      <c r="C587" s="20"/>
      <c r="D587" s="20"/>
      <c r="H587" s="21"/>
    </row>
    <row r="588">
      <c r="C588" s="20"/>
      <c r="D588" s="20"/>
      <c r="H588" s="21"/>
    </row>
    <row r="589">
      <c r="C589" s="20"/>
      <c r="D589" s="20"/>
      <c r="H589" s="21"/>
    </row>
    <row r="590">
      <c r="C590" s="20"/>
      <c r="D590" s="20"/>
      <c r="H590" s="21"/>
    </row>
    <row r="591">
      <c r="C591" s="20"/>
      <c r="D591" s="20"/>
      <c r="H591" s="21"/>
    </row>
    <row r="592">
      <c r="C592" s="20"/>
      <c r="D592" s="20"/>
      <c r="H592" s="21"/>
    </row>
    <row r="593">
      <c r="C593" s="20"/>
      <c r="D593" s="20"/>
      <c r="H593" s="21"/>
    </row>
    <row r="594">
      <c r="C594" s="20"/>
      <c r="D594" s="20"/>
      <c r="H594" s="21"/>
    </row>
    <row r="595">
      <c r="C595" s="20"/>
      <c r="D595" s="20"/>
      <c r="H595" s="21"/>
    </row>
    <row r="596">
      <c r="C596" s="20"/>
      <c r="D596" s="20"/>
      <c r="H596" s="21"/>
    </row>
    <row r="597">
      <c r="C597" s="20"/>
      <c r="D597" s="20"/>
      <c r="H597" s="21"/>
    </row>
    <row r="598">
      <c r="C598" s="20"/>
      <c r="D598" s="20"/>
      <c r="H598" s="21"/>
    </row>
    <row r="599">
      <c r="C599" s="20"/>
      <c r="D599" s="20"/>
      <c r="H599" s="21"/>
    </row>
    <row r="600">
      <c r="C600" s="20"/>
      <c r="D600" s="20"/>
      <c r="H600" s="21"/>
    </row>
    <row r="601">
      <c r="C601" s="20"/>
      <c r="D601" s="20"/>
      <c r="H601" s="21"/>
    </row>
    <row r="602">
      <c r="C602" s="20"/>
      <c r="D602" s="20"/>
      <c r="H602" s="21"/>
    </row>
    <row r="603">
      <c r="C603" s="20"/>
      <c r="D603" s="20"/>
      <c r="H603" s="21"/>
    </row>
    <row r="604">
      <c r="C604" s="20"/>
      <c r="D604" s="20"/>
      <c r="H604" s="21"/>
    </row>
    <row r="605">
      <c r="C605" s="20"/>
      <c r="D605" s="20"/>
      <c r="H605" s="21"/>
    </row>
    <row r="606">
      <c r="C606" s="20"/>
      <c r="D606" s="20"/>
      <c r="H606" s="21"/>
    </row>
    <row r="607">
      <c r="C607" s="20"/>
      <c r="D607" s="20"/>
      <c r="H607" s="21"/>
    </row>
    <row r="608">
      <c r="C608" s="20"/>
      <c r="D608" s="20"/>
      <c r="H608" s="21"/>
    </row>
    <row r="609">
      <c r="C609" s="20"/>
      <c r="D609" s="20"/>
      <c r="H609" s="21"/>
    </row>
    <row r="610">
      <c r="C610" s="20"/>
      <c r="D610" s="20"/>
      <c r="H610" s="21"/>
    </row>
    <row r="611">
      <c r="C611" s="20"/>
      <c r="D611" s="20"/>
      <c r="H611" s="21"/>
    </row>
    <row r="612">
      <c r="C612" s="20"/>
      <c r="D612" s="20"/>
      <c r="H612" s="21"/>
    </row>
    <row r="613">
      <c r="C613" s="20"/>
      <c r="D613" s="20"/>
      <c r="H613" s="21"/>
    </row>
    <row r="614">
      <c r="C614" s="20"/>
      <c r="D614" s="20"/>
      <c r="H614" s="21"/>
    </row>
    <row r="615">
      <c r="C615" s="20"/>
      <c r="D615" s="20"/>
      <c r="H615" s="21"/>
    </row>
    <row r="616">
      <c r="C616" s="20"/>
      <c r="D616" s="20"/>
      <c r="H616" s="21"/>
    </row>
    <row r="617">
      <c r="C617" s="20"/>
      <c r="D617" s="20"/>
      <c r="H617" s="21"/>
    </row>
    <row r="618">
      <c r="C618" s="20"/>
      <c r="D618" s="20"/>
      <c r="H618" s="21"/>
    </row>
    <row r="619">
      <c r="C619" s="20"/>
      <c r="D619" s="20"/>
      <c r="H619" s="21"/>
    </row>
    <row r="620">
      <c r="C620" s="20"/>
      <c r="D620" s="20"/>
      <c r="H620" s="21"/>
    </row>
    <row r="621">
      <c r="C621" s="20"/>
      <c r="D621" s="20"/>
      <c r="H621" s="21"/>
    </row>
    <row r="622">
      <c r="C622" s="20"/>
      <c r="D622" s="20"/>
      <c r="H622" s="21"/>
    </row>
    <row r="623">
      <c r="C623" s="20"/>
      <c r="D623" s="20"/>
      <c r="H623" s="21"/>
    </row>
    <row r="624">
      <c r="C624" s="20"/>
      <c r="D624" s="20"/>
      <c r="H624" s="21"/>
    </row>
    <row r="625">
      <c r="C625" s="20"/>
      <c r="D625" s="20"/>
      <c r="H625" s="21"/>
    </row>
    <row r="626">
      <c r="C626" s="20"/>
      <c r="D626" s="20"/>
      <c r="H626" s="21"/>
    </row>
    <row r="627">
      <c r="C627" s="20"/>
      <c r="D627" s="20"/>
      <c r="H627" s="21"/>
    </row>
    <row r="628">
      <c r="C628" s="20"/>
      <c r="D628" s="20"/>
      <c r="H628" s="21"/>
    </row>
    <row r="629">
      <c r="C629" s="20"/>
      <c r="D629" s="20"/>
      <c r="H629" s="21"/>
    </row>
    <row r="630">
      <c r="C630" s="20"/>
      <c r="D630" s="20"/>
      <c r="H630" s="21"/>
    </row>
    <row r="631">
      <c r="C631" s="20"/>
      <c r="D631" s="20"/>
      <c r="H631" s="21"/>
    </row>
    <row r="632">
      <c r="C632" s="20"/>
      <c r="D632" s="20"/>
      <c r="H632" s="21"/>
    </row>
    <row r="633">
      <c r="C633" s="20"/>
      <c r="D633" s="20"/>
      <c r="H633" s="21"/>
    </row>
    <row r="634">
      <c r="C634" s="20"/>
      <c r="D634" s="20"/>
      <c r="H634" s="21"/>
    </row>
    <row r="635">
      <c r="C635" s="20"/>
      <c r="D635" s="20"/>
      <c r="H635" s="21"/>
    </row>
    <row r="636">
      <c r="C636" s="20"/>
      <c r="D636" s="20"/>
      <c r="H636" s="21"/>
    </row>
    <row r="637">
      <c r="C637" s="20"/>
      <c r="D637" s="20"/>
      <c r="H637" s="21"/>
    </row>
    <row r="638">
      <c r="C638" s="20"/>
      <c r="D638" s="20"/>
      <c r="H638" s="21"/>
    </row>
    <row r="639">
      <c r="C639" s="20"/>
      <c r="D639" s="20"/>
      <c r="H639" s="21"/>
    </row>
    <row r="640">
      <c r="C640" s="20"/>
      <c r="D640" s="20"/>
      <c r="H640" s="21"/>
    </row>
    <row r="641">
      <c r="C641" s="20"/>
      <c r="D641" s="20"/>
      <c r="H641" s="21"/>
    </row>
    <row r="642">
      <c r="C642" s="20"/>
      <c r="D642" s="20"/>
      <c r="H642" s="21"/>
    </row>
    <row r="643">
      <c r="C643" s="20"/>
      <c r="D643" s="20"/>
      <c r="H643" s="21"/>
    </row>
    <row r="644">
      <c r="C644" s="20"/>
      <c r="D644" s="20"/>
      <c r="H644" s="21"/>
    </row>
    <row r="645">
      <c r="C645" s="20"/>
      <c r="D645" s="20"/>
      <c r="H645" s="21"/>
    </row>
    <row r="646">
      <c r="C646" s="20"/>
      <c r="D646" s="20"/>
      <c r="H646" s="21"/>
    </row>
    <row r="647">
      <c r="C647" s="20"/>
      <c r="D647" s="20"/>
      <c r="H647" s="21"/>
    </row>
    <row r="648">
      <c r="C648" s="20"/>
      <c r="D648" s="20"/>
      <c r="H648" s="21"/>
    </row>
    <row r="649">
      <c r="C649" s="20"/>
      <c r="D649" s="20"/>
      <c r="H649" s="21"/>
    </row>
    <row r="650">
      <c r="C650" s="20"/>
      <c r="D650" s="20"/>
      <c r="H650" s="21"/>
    </row>
    <row r="651">
      <c r="C651" s="20"/>
      <c r="D651" s="20"/>
      <c r="H651" s="21"/>
    </row>
    <row r="652">
      <c r="C652" s="20"/>
      <c r="D652" s="20"/>
      <c r="H652" s="21"/>
    </row>
    <row r="653">
      <c r="C653" s="20"/>
      <c r="D653" s="20"/>
      <c r="H653" s="21"/>
    </row>
    <row r="654">
      <c r="C654" s="20"/>
      <c r="D654" s="20"/>
      <c r="H654" s="21"/>
    </row>
    <row r="655">
      <c r="C655" s="20"/>
      <c r="D655" s="20"/>
      <c r="H655" s="21"/>
    </row>
    <row r="656">
      <c r="C656" s="20"/>
      <c r="D656" s="20"/>
      <c r="H656" s="21"/>
    </row>
    <row r="657">
      <c r="C657" s="20"/>
      <c r="D657" s="20"/>
      <c r="H657" s="21"/>
    </row>
    <row r="658">
      <c r="C658" s="20"/>
      <c r="D658" s="20"/>
      <c r="H658" s="21"/>
    </row>
    <row r="659">
      <c r="C659" s="20"/>
      <c r="D659" s="20"/>
      <c r="H659" s="21"/>
    </row>
    <row r="660">
      <c r="C660" s="20"/>
      <c r="D660" s="20"/>
      <c r="H660" s="21"/>
    </row>
    <row r="661">
      <c r="C661" s="20"/>
      <c r="D661" s="20"/>
      <c r="H661" s="21"/>
    </row>
    <row r="662">
      <c r="C662" s="20"/>
      <c r="D662" s="20"/>
      <c r="H662" s="21"/>
    </row>
    <row r="663">
      <c r="C663" s="20"/>
      <c r="D663" s="20"/>
      <c r="H663" s="21"/>
    </row>
    <row r="664">
      <c r="C664" s="20"/>
      <c r="D664" s="20"/>
      <c r="H664" s="21"/>
    </row>
    <row r="665">
      <c r="C665" s="20"/>
      <c r="D665" s="20"/>
      <c r="H665" s="21"/>
    </row>
    <row r="666">
      <c r="C666" s="20"/>
      <c r="D666" s="20"/>
      <c r="H666" s="21"/>
    </row>
    <row r="667">
      <c r="C667" s="20"/>
      <c r="D667" s="20"/>
      <c r="H667" s="21"/>
    </row>
    <row r="668">
      <c r="C668" s="20"/>
      <c r="D668" s="20"/>
      <c r="H668" s="21"/>
    </row>
    <row r="669">
      <c r="C669" s="20"/>
      <c r="D669" s="20"/>
      <c r="H669" s="21"/>
    </row>
    <row r="670">
      <c r="C670" s="20"/>
      <c r="D670" s="20"/>
      <c r="H670" s="21"/>
    </row>
    <row r="671">
      <c r="C671" s="20"/>
      <c r="D671" s="20"/>
      <c r="H671" s="21"/>
    </row>
    <row r="672">
      <c r="C672" s="20"/>
      <c r="D672" s="20"/>
      <c r="H672" s="21"/>
    </row>
    <row r="673">
      <c r="C673" s="20"/>
      <c r="D673" s="20"/>
      <c r="H673" s="21"/>
    </row>
    <row r="674">
      <c r="C674" s="20"/>
      <c r="D674" s="20"/>
      <c r="H674" s="21"/>
    </row>
    <row r="675">
      <c r="C675" s="20"/>
      <c r="D675" s="20"/>
      <c r="H675" s="21"/>
    </row>
    <row r="676">
      <c r="C676" s="20"/>
      <c r="D676" s="20"/>
      <c r="H676" s="21"/>
    </row>
    <row r="677">
      <c r="C677" s="20"/>
      <c r="D677" s="20"/>
      <c r="H677" s="21"/>
    </row>
    <row r="678">
      <c r="C678" s="20"/>
      <c r="D678" s="20"/>
      <c r="H678" s="21"/>
    </row>
    <row r="679">
      <c r="C679" s="20"/>
      <c r="D679" s="20"/>
      <c r="H679" s="21"/>
    </row>
    <row r="680">
      <c r="C680" s="20"/>
      <c r="D680" s="20"/>
      <c r="H680" s="21"/>
    </row>
    <row r="681">
      <c r="C681" s="20"/>
      <c r="D681" s="20"/>
      <c r="H681" s="21"/>
    </row>
    <row r="682">
      <c r="C682" s="20"/>
      <c r="D682" s="20"/>
      <c r="H682" s="21"/>
    </row>
    <row r="683">
      <c r="C683" s="20"/>
      <c r="D683" s="20"/>
      <c r="H683" s="21"/>
    </row>
    <row r="684">
      <c r="C684" s="20"/>
      <c r="D684" s="20"/>
      <c r="H684" s="21"/>
    </row>
    <row r="685">
      <c r="C685" s="20"/>
      <c r="D685" s="20"/>
      <c r="H685" s="21"/>
    </row>
    <row r="686">
      <c r="C686" s="20"/>
      <c r="D686" s="20"/>
      <c r="H686" s="21"/>
    </row>
    <row r="687">
      <c r="C687" s="20"/>
      <c r="D687" s="20"/>
      <c r="H687" s="21"/>
    </row>
    <row r="688">
      <c r="C688" s="20"/>
      <c r="D688" s="20"/>
      <c r="H688" s="21"/>
    </row>
    <row r="689">
      <c r="C689" s="20"/>
      <c r="D689" s="20"/>
      <c r="H689" s="21"/>
    </row>
    <row r="690">
      <c r="C690" s="20"/>
      <c r="D690" s="20"/>
      <c r="H690" s="21"/>
    </row>
    <row r="691">
      <c r="C691" s="20"/>
      <c r="D691" s="20"/>
      <c r="H691" s="21"/>
    </row>
    <row r="692">
      <c r="C692" s="20"/>
      <c r="D692" s="20"/>
      <c r="H692" s="21"/>
    </row>
    <row r="693">
      <c r="C693" s="20"/>
      <c r="D693" s="20"/>
      <c r="H693" s="21"/>
    </row>
    <row r="694">
      <c r="C694" s="20"/>
      <c r="D694" s="20"/>
      <c r="H694" s="21"/>
    </row>
    <row r="695">
      <c r="C695" s="20"/>
      <c r="D695" s="20"/>
      <c r="H695" s="21"/>
    </row>
    <row r="696">
      <c r="C696" s="20"/>
      <c r="D696" s="20"/>
      <c r="H696" s="21"/>
    </row>
    <row r="697">
      <c r="C697" s="20"/>
      <c r="D697" s="20"/>
      <c r="H697" s="21"/>
    </row>
    <row r="698">
      <c r="C698" s="20"/>
      <c r="D698" s="20"/>
      <c r="H698" s="21"/>
    </row>
    <row r="699">
      <c r="C699" s="20"/>
      <c r="D699" s="20"/>
      <c r="H699" s="21"/>
    </row>
    <row r="700">
      <c r="C700" s="20"/>
      <c r="D700" s="20"/>
      <c r="H700" s="21"/>
    </row>
    <row r="701">
      <c r="C701" s="20"/>
      <c r="D701" s="20"/>
      <c r="H701" s="21"/>
    </row>
    <row r="702">
      <c r="C702" s="20"/>
      <c r="D702" s="20"/>
      <c r="H702" s="21"/>
    </row>
    <row r="703">
      <c r="C703" s="20"/>
      <c r="D703" s="20"/>
      <c r="H703" s="21"/>
    </row>
    <row r="704">
      <c r="C704" s="20"/>
      <c r="D704" s="20"/>
      <c r="H704" s="21"/>
    </row>
    <row r="705">
      <c r="C705" s="20"/>
      <c r="D705" s="20"/>
      <c r="H705" s="21"/>
    </row>
    <row r="706">
      <c r="C706" s="20"/>
      <c r="D706" s="20"/>
      <c r="H706" s="21"/>
    </row>
    <row r="707">
      <c r="C707" s="20"/>
      <c r="D707" s="20"/>
      <c r="H707" s="21"/>
    </row>
    <row r="708">
      <c r="C708" s="20"/>
      <c r="D708" s="20"/>
      <c r="H708" s="21"/>
    </row>
    <row r="709">
      <c r="C709" s="20"/>
      <c r="D709" s="20"/>
      <c r="H709" s="21"/>
    </row>
    <row r="710">
      <c r="C710" s="20"/>
      <c r="D710" s="20"/>
      <c r="H710" s="21"/>
    </row>
    <row r="711">
      <c r="C711" s="20"/>
      <c r="D711" s="20"/>
      <c r="H711" s="21"/>
    </row>
    <row r="712">
      <c r="C712" s="20"/>
      <c r="D712" s="20"/>
      <c r="H712" s="21"/>
    </row>
    <row r="713">
      <c r="C713" s="20"/>
      <c r="D713" s="20"/>
      <c r="H713" s="21"/>
    </row>
    <row r="714">
      <c r="C714" s="20"/>
      <c r="D714" s="20"/>
      <c r="H714" s="21"/>
    </row>
    <row r="715">
      <c r="C715" s="20"/>
      <c r="D715" s="20"/>
      <c r="H715" s="21"/>
    </row>
    <row r="716">
      <c r="C716" s="20"/>
      <c r="D716" s="20"/>
      <c r="H716" s="21"/>
    </row>
    <row r="717">
      <c r="C717" s="20"/>
      <c r="D717" s="20"/>
      <c r="H717" s="21"/>
    </row>
    <row r="718">
      <c r="C718" s="20"/>
      <c r="D718" s="20"/>
      <c r="H718" s="21"/>
    </row>
    <row r="719">
      <c r="C719" s="20"/>
      <c r="D719" s="20"/>
      <c r="H719" s="21"/>
    </row>
    <row r="720">
      <c r="C720" s="20"/>
      <c r="D720" s="20"/>
      <c r="H720" s="21"/>
    </row>
    <row r="721">
      <c r="C721" s="20"/>
      <c r="D721" s="20"/>
      <c r="H721" s="21"/>
    </row>
    <row r="722">
      <c r="C722" s="20"/>
      <c r="D722" s="20"/>
      <c r="H722" s="21"/>
    </row>
    <row r="723">
      <c r="C723" s="20"/>
      <c r="D723" s="20"/>
      <c r="H723" s="21"/>
    </row>
    <row r="724">
      <c r="C724" s="20"/>
      <c r="D724" s="20"/>
      <c r="H724" s="21"/>
    </row>
    <row r="725">
      <c r="C725" s="20"/>
      <c r="D725" s="20"/>
      <c r="H725" s="21"/>
    </row>
    <row r="726">
      <c r="C726" s="20"/>
      <c r="D726" s="20"/>
      <c r="H726" s="21"/>
    </row>
    <row r="727">
      <c r="C727" s="20"/>
      <c r="D727" s="20"/>
      <c r="H727" s="21"/>
    </row>
    <row r="728">
      <c r="C728" s="20"/>
      <c r="D728" s="20"/>
      <c r="H728" s="21"/>
    </row>
    <row r="729">
      <c r="C729" s="20"/>
      <c r="D729" s="20"/>
      <c r="H729" s="21"/>
    </row>
    <row r="730">
      <c r="C730" s="20"/>
      <c r="D730" s="20"/>
      <c r="H730" s="21"/>
    </row>
    <row r="731">
      <c r="C731" s="20"/>
      <c r="D731" s="20"/>
      <c r="H731" s="21"/>
    </row>
    <row r="732">
      <c r="C732" s="20"/>
      <c r="D732" s="20"/>
      <c r="H732" s="21"/>
    </row>
    <row r="733">
      <c r="C733" s="20"/>
      <c r="D733" s="20"/>
      <c r="H733" s="21"/>
    </row>
    <row r="734">
      <c r="C734" s="20"/>
      <c r="D734" s="20"/>
      <c r="H734" s="21"/>
    </row>
    <row r="735">
      <c r="C735" s="20"/>
      <c r="D735" s="20"/>
      <c r="H735" s="21"/>
    </row>
    <row r="736">
      <c r="C736" s="20"/>
      <c r="D736" s="20"/>
      <c r="H736" s="21"/>
    </row>
    <row r="737">
      <c r="C737" s="20"/>
      <c r="D737" s="20"/>
      <c r="H737" s="21"/>
    </row>
    <row r="738">
      <c r="C738" s="20"/>
      <c r="D738" s="20"/>
      <c r="H738" s="21"/>
    </row>
    <row r="739">
      <c r="C739" s="20"/>
      <c r="D739" s="20"/>
      <c r="H739" s="21"/>
    </row>
    <row r="740">
      <c r="C740" s="20"/>
      <c r="D740" s="20"/>
      <c r="H740" s="21"/>
    </row>
    <row r="741">
      <c r="C741" s="20"/>
      <c r="D741" s="20"/>
      <c r="H741" s="21"/>
    </row>
    <row r="742">
      <c r="C742" s="20"/>
      <c r="D742" s="20"/>
      <c r="H742" s="21"/>
    </row>
    <row r="743">
      <c r="C743" s="20"/>
      <c r="D743" s="20"/>
      <c r="H743" s="21"/>
    </row>
    <row r="744">
      <c r="C744" s="20"/>
      <c r="D744" s="20"/>
      <c r="H744" s="21"/>
    </row>
    <row r="745">
      <c r="C745" s="20"/>
      <c r="D745" s="20"/>
      <c r="H745" s="21"/>
    </row>
    <row r="746">
      <c r="C746" s="20"/>
      <c r="D746" s="20"/>
      <c r="H746" s="21"/>
    </row>
    <row r="747">
      <c r="C747" s="20"/>
      <c r="D747" s="20"/>
      <c r="H747" s="21"/>
    </row>
    <row r="748">
      <c r="C748" s="20"/>
      <c r="D748" s="20"/>
      <c r="H748" s="21"/>
    </row>
    <row r="749">
      <c r="C749" s="20"/>
      <c r="D749" s="20"/>
      <c r="H749" s="21"/>
    </row>
    <row r="750">
      <c r="C750" s="20"/>
      <c r="D750" s="20"/>
      <c r="H750" s="21"/>
    </row>
    <row r="751">
      <c r="C751" s="20"/>
      <c r="D751" s="20"/>
      <c r="H751" s="21"/>
    </row>
    <row r="752">
      <c r="C752" s="20"/>
      <c r="D752" s="20"/>
      <c r="H752" s="21"/>
    </row>
    <row r="753">
      <c r="C753" s="20"/>
      <c r="D753" s="20"/>
      <c r="H753" s="21"/>
    </row>
    <row r="754">
      <c r="C754" s="20"/>
      <c r="D754" s="20"/>
      <c r="H754" s="21"/>
    </row>
    <row r="755">
      <c r="C755" s="20"/>
      <c r="D755" s="20"/>
      <c r="H755" s="21"/>
    </row>
    <row r="756">
      <c r="C756" s="20"/>
      <c r="D756" s="20"/>
      <c r="H756" s="21"/>
    </row>
    <row r="757">
      <c r="C757" s="20"/>
      <c r="D757" s="20"/>
      <c r="H757" s="21"/>
    </row>
    <row r="758">
      <c r="C758" s="20"/>
      <c r="D758" s="20"/>
      <c r="H758" s="21"/>
    </row>
    <row r="759">
      <c r="C759" s="20"/>
      <c r="D759" s="20"/>
      <c r="H759" s="21"/>
    </row>
    <row r="760">
      <c r="C760" s="20"/>
      <c r="D760" s="20"/>
      <c r="H760" s="21"/>
    </row>
    <row r="761">
      <c r="C761" s="20"/>
      <c r="D761" s="20"/>
      <c r="H761" s="21"/>
    </row>
    <row r="762">
      <c r="C762" s="20"/>
      <c r="D762" s="20"/>
      <c r="H762" s="21"/>
    </row>
    <row r="763">
      <c r="C763" s="20"/>
      <c r="D763" s="20"/>
      <c r="H763" s="21"/>
    </row>
    <row r="764">
      <c r="C764" s="20"/>
      <c r="D764" s="20"/>
      <c r="H764" s="21"/>
    </row>
    <row r="765">
      <c r="C765" s="20"/>
      <c r="D765" s="20"/>
      <c r="H765" s="21"/>
    </row>
    <row r="766">
      <c r="C766" s="20"/>
      <c r="D766" s="20"/>
      <c r="H766" s="21"/>
    </row>
    <row r="767">
      <c r="C767" s="20"/>
      <c r="D767" s="20"/>
      <c r="H767" s="21"/>
    </row>
    <row r="768">
      <c r="C768" s="20"/>
      <c r="D768" s="20"/>
      <c r="H768" s="21"/>
    </row>
    <row r="769">
      <c r="C769" s="20"/>
      <c r="D769" s="20"/>
      <c r="H769" s="21"/>
    </row>
    <row r="770">
      <c r="C770" s="20"/>
      <c r="D770" s="20"/>
      <c r="H770" s="21"/>
    </row>
    <row r="771">
      <c r="C771" s="20"/>
      <c r="D771" s="20"/>
      <c r="H771" s="21"/>
    </row>
    <row r="772">
      <c r="C772" s="20"/>
      <c r="D772" s="20"/>
      <c r="H772" s="21"/>
    </row>
    <row r="773">
      <c r="C773" s="20"/>
      <c r="D773" s="20"/>
      <c r="H773" s="21"/>
    </row>
    <row r="774">
      <c r="C774" s="20"/>
      <c r="D774" s="20"/>
      <c r="H774" s="21"/>
    </row>
    <row r="775">
      <c r="C775" s="20"/>
      <c r="D775" s="20"/>
      <c r="H775" s="21"/>
    </row>
    <row r="776">
      <c r="C776" s="20"/>
      <c r="D776" s="20"/>
      <c r="H776" s="21"/>
    </row>
    <row r="777">
      <c r="C777" s="20"/>
      <c r="D777" s="20"/>
      <c r="H777" s="21"/>
    </row>
    <row r="778">
      <c r="C778" s="20"/>
      <c r="D778" s="20"/>
      <c r="H778" s="21"/>
    </row>
    <row r="779">
      <c r="C779" s="20"/>
      <c r="D779" s="20"/>
      <c r="H779" s="21"/>
    </row>
    <row r="780">
      <c r="C780" s="20"/>
      <c r="D780" s="20"/>
      <c r="H780" s="21"/>
    </row>
    <row r="781">
      <c r="C781" s="20"/>
      <c r="D781" s="20"/>
      <c r="H781" s="21"/>
    </row>
    <row r="782">
      <c r="C782" s="20"/>
      <c r="D782" s="20"/>
      <c r="H782" s="21"/>
    </row>
    <row r="783">
      <c r="C783" s="20"/>
      <c r="D783" s="20"/>
      <c r="H783" s="21"/>
    </row>
    <row r="784">
      <c r="C784" s="20"/>
      <c r="D784" s="20"/>
      <c r="H784" s="21"/>
    </row>
    <row r="785">
      <c r="C785" s="20"/>
      <c r="D785" s="20"/>
      <c r="H785" s="21"/>
    </row>
    <row r="786">
      <c r="C786" s="20"/>
      <c r="D786" s="20"/>
      <c r="H786" s="21"/>
    </row>
    <row r="787">
      <c r="C787" s="20"/>
      <c r="D787" s="20"/>
      <c r="H787" s="21"/>
    </row>
    <row r="788">
      <c r="C788" s="20"/>
      <c r="D788" s="20"/>
      <c r="H788" s="21"/>
    </row>
    <row r="789">
      <c r="C789" s="20"/>
      <c r="D789" s="20"/>
      <c r="H789" s="21"/>
    </row>
    <row r="790">
      <c r="C790" s="20"/>
      <c r="D790" s="20"/>
      <c r="H790" s="21"/>
    </row>
    <row r="791">
      <c r="C791" s="20"/>
      <c r="D791" s="20"/>
      <c r="H791" s="21"/>
    </row>
    <row r="792">
      <c r="C792" s="20"/>
      <c r="D792" s="20"/>
      <c r="H792" s="21"/>
    </row>
    <row r="793">
      <c r="C793" s="20"/>
      <c r="D793" s="20"/>
      <c r="H793" s="21"/>
    </row>
    <row r="794">
      <c r="C794" s="20"/>
      <c r="D794" s="20"/>
      <c r="H794" s="21"/>
    </row>
    <row r="795">
      <c r="C795" s="20"/>
      <c r="D795" s="20"/>
      <c r="H795" s="21"/>
    </row>
    <row r="796">
      <c r="C796" s="20"/>
      <c r="D796" s="20"/>
      <c r="H796" s="21"/>
    </row>
    <row r="797">
      <c r="C797" s="20"/>
      <c r="D797" s="20"/>
      <c r="H797" s="21"/>
    </row>
    <row r="798">
      <c r="C798" s="20"/>
      <c r="D798" s="20"/>
      <c r="H798" s="21"/>
    </row>
    <row r="799">
      <c r="C799" s="20"/>
      <c r="D799" s="20"/>
      <c r="H799" s="21"/>
    </row>
    <row r="800">
      <c r="C800" s="20"/>
      <c r="D800" s="20"/>
      <c r="H800" s="21"/>
    </row>
    <row r="801">
      <c r="C801" s="20"/>
      <c r="D801" s="20"/>
      <c r="H801" s="21"/>
    </row>
    <row r="802">
      <c r="C802" s="20"/>
      <c r="D802" s="20"/>
      <c r="H802" s="21"/>
    </row>
    <row r="803">
      <c r="C803" s="20"/>
      <c r="D803" s="20"/>
      <c r="H803" s="21"/>
    </row>
    <row r="804">
      <c r="C804" s="20"/>
      <c r="D804" s="20"/>
      <c r="H804" s="21"/>
    </row>
    <row r="805">
      <c r="C805" s="20"/>
      <c r="D805" s="20"/>
      <c r="H805" s="21"/>
    </row>
    <row r="806">
      <c r="C806" s="20"/>
      <c r="D806" s="20"/>
      <c r="H806" s="21"/>
    </row>
    <row r="807">
      <c r="C807" s="20"/>
      <c r="D807" s="20"/>
      <c r="H807" s="21"/>
    </row>
    <row r="808">
      <c r="C808" s="20"/>
      <c r="D808" s="20"/>
      <c r="H808" s="21"/>
    </row>
    <row r="809">
      <c r="C809" s="20"/>
      <c r="D809" s="20"/>
      <c r="H809" s="21"/>
    </row>
    <row r="810">
      <c r="C810" s="20"/>
      <c r="D810" s="20"/>
      <c r="H810" s="21"/>
    </row>
    <row r="811">
      <c r="C811" s="20"/>
      <c r="D811" s="20"/>
      <c r="H811" s="21"/>
    </row>
    <row r="812">
      <c r="C812" s="20"/>
      <c r="D812" s="20"/>
      <c r="H812" s="21"/>
    </row>
    <row r="813">
      <c r="C813" s="20"/>
      <c r="D813" s="20"/>
      <c r="H813" s="21"/>
    </row>
    <row r="814">
      <c r="C814" s="20"/>
      <c r="D814" s="20"/>
      <c r="H814" s="21"/>
    </row>
    <row r="815">
      <c r="C815" s="20"/>
      <c r="D815" s="20"/>
      <c r="H815" s="21"/>
    </row>
    <row r="816">
      <c r="C816" s="20"/>
      <c r="D816" s="20"/>
      <c r="H816" s="21"/>
    </row>
    <row r="817">
      <c r="C817" s="20"/>
      <c r="D817" s="20"/>
      <c r="H817" s="21"/>
    </row>
    <row r="818">
      <c r="C818" s="20"/>
      <c r="D818" s="20"/>
      <c r="H818" s="21"/>
    </row>
    <row r="819">
      <c r="C819" s="20"/>
      <c r="D819" s="20"/>
      <c r="H819" s="21"/>
    </row>
    <row r="820">
      <c r="C820" s="20"/>
      <c r="D820" s="20"/>
      <c r="H820" s="21"/>
    </row>
    <row r="821">
      <c r="C821" s="20"/>
      <c r="D821" s="20"/>
      <c r="H821" s="21"/>
    </row>
    <row r="822">
      <c r="C822" s="20"/>
      <c r="D822" s="20"/>
      <c r="H822" s="21"/>
    </row>
    <row r="823">
      <c r="C823" s="20"/>
      <c r="D823" s="20"/>
      <c r="H823" s="21"/>
    </row>
    <row r="824">
      <c r="C824" s="20"/>
      <c r="D824" s="20"/>
      <c r="H824" s="21"/>
    </row>
    <row r="825">
      <c r="C825" s="20"/>
      <c r="D825" s="20"/>
      <c r="H825" s="21"/>
    </row>
    <row r="826">
      <c r="C826" s="20"/>
      <c r="D826" s="20"/>
      <c r="H826" s="21"/>
    </row>
    <row r="827">
      <c r="C827" s="20"/>
      <c r="D827" s="20"/>
      <c r="H827" s="21"/>
    </row>
    <row r="828">
      <c r="C828" s="20"/>
      <c r="D828" s="20"/>
      <c r="H828" s="21"/>
    </row>
    <row r="829">
      <c r="C829" s="20"/>
      <c r="D829" s="20"/>
      <c r="H829" s="21"/>
    </row>
    <row r="830">
      <c r="C830" s="20"/>
      <c r="D830" s="20"/>
      <c r="H830" s="21"/>
    </row>
    <row r="831">
      <c r="C831" s="20"/>
      <c r="D831" s="20"/>
      <c r="H831" s="21"/>
    </row>
    <row r="832">
      <c r="C832" s="20"/>
      <c r="D832" s="20"/>
      <c r="H832" s="21"/>
    </row>
    <row r="833">
      <c r="C833" s="20"/>
      <c r="D833" s="20"/>
      <c r="H833" s="21"/>
    </row>
    <row r="834">
      <c r="C834" s="20"/>
      <c r="D834" s="20"/>
      <c r="H834" s="21"/>
    </row>
    <row r="835">
      <c r="C835" s="20"/>
      <c r="D835" s="20"/>
      <c r="H835" s="21"/>
    </row>
    <row r="836">
      <c r="C836" s="20"/>
      <c r="D836" s="20"/>
      <c r="H836" s="21"/>
    </row>
    <row r="837">
      <c r="C837" s="20"/>
      <c r="D837" s="20"/>
      <c r="H837" s="21"/>
    </row>
    <row r="838">
      <c r="C838" s="20"/>
      <c r="D838" s="20"/>
      <c r="H838" s="21"/>
    </row>
    <row r="839">
      <c r="C839" s="20"/>
      <c r="D839" s="20"/>
      <c r="H839" s="21"/>
    </row>
    <row r="840">
      <c r="C840" s="20"/>
      <c r="D840" s="20"/>
      <c r="H840" s="21"/>
    </row>
    <row r="841">
      <c r="C841" s="20"/>
      <c r="D841" s="20"/>
      <c r="H841" s="21"/>
    </row>
    <row r="842">
      <c r="C842" s="20"/>
      <c r="D842" s="20"/>
      <c r="H842" s="21"/>
    </row>
    <row r="843">
      <c r="C843" s="20"/>
      <c r="D843" s="20"/>
      <c r="H843" s="21"/>
    </row>
    <row r="844">
      <c r="C844" s="20"/>
      <c r="D844" s="20"/>
      <c r="H844" s="21"/>
    </row>
    <row r="845">
      <c r="C845" s="20"/>
      <c r="D845" s="20"/>
      <c r="H845" s="21"/>
    </row>
    <row r="846">
      <c r="C846" s="20"/>
      <c r="D846" s="20"/>
      <c r="H846" s="21"/>
    </row>
    <row r="847">
      <c r="C847" s="20"/>
      <c r="D847" s="20"/>
      <c r="H847" s="21"/>
    </row>
    <row r="848">
      <c r="C848" s="20"/>
      <c r="D848" s="20"/>
      <c r="H848" s="21"/>
    </row>
    <row r="849">
      <c r="C849" s="20"/>
      <c r="D849" s="20"/>
      <c r="H849" s="21"/>
    </row>
    <row r="850">
      <c r="C850" s="20"/>
      <c r="D850" s="20"/>
      <c r="H850" s="21"/>
    </row>
    <row r="851">
      <c r="C851" s="20"/>
      <c r="D851" s="20"/>
      <c r="H851" s="21"/>
    </row>
    <row r="852">
      <c r="C852" s="20"/>
      <c r="D852" s="20"/>
      <c r="H852" s="21"/>
    </row>
    <row r="853">
      <c r="C853" s="20"/>
      <c r="D853" s="20"/>
      <c r="H853" s="21"/>
    </row>
    <row r="854">
      <c r="C854" s="20"/>
      <c r="D854" s="20"/>
      <c r="H854" s="21"/>
    </row>
    <row r="855">
      <c r="C855" s="20"/>
      <c r="D855" s="20"/>
      <c r="H855" s="21"/>
    </row>
    <row r="856">
      <c r="C856" s="20"/>
      <c r="D856" s="20"/>
      <c r="H856" s="21"/>
    </row>
    <row r="857">
      <c r="C857" s="20"/>
      <c r="D857" s="20"/>
      <c r="H857" s="21"/>
    </row>
    <row r="858">
      <c r="C858" s="20"/>
      <c r="D858" s="20"/>
      <c r="H858" s="21"/>
    </row>
    <row r="859">
      <c r="C859" s="20"/>
      <c r="D859" s="20"/>
      <c r="H859" s="21"/>
    </row>
    <row r="860">
      <c r="C860" s="20"/>
      <c r="D860" s="20"/>
      <c r="H860" s="21"/>
    </row>
    <row r="861">
      <c r="C861" s="20"/>
      <c r="D861" s="20"/>
      <c r="H861" s="21"/>
    </row>
    <row r="862">
      <c r="C862" s="20"/>
      <c r="D862" s="20"/>
      <c r="H862" s="21"/>
    </row>
    <row r="863">
      <c r="C863" s="20"/>
      <c r="D863" s="20"/>
      <c r="H863" s="21"/>
    </row>
    <row r="864">
      <c r="C864" s="20"/>
      <c r="D864" s="20"/>
      <c r="H864" s="21"/>
    </row>
    <row r="865">
      <c r="C865" s="20"/>
      <c r="D865" s="20"/>
      <c r="H865" s="21"/>
    </row>
    <row r="866">
      <c r="C866" s="20"/>
      <c r="D866" s="20"/>
      <c r="H866" s="21"/>
    </row>
    <row r="867">
      <c r="C867" s="20"/>
      <c r="D867" s="20"/>
      <c r="H867" s="21"/>
    </row>
    <row r="868">
      <c r="C868" s="20"/>
      <c r="D868" s="20"/>
      <c r="H868" s="21"/>
    </row>
    <row r="869">
      <c r="C869" s="20"/>
      <c r="D869" s="20"/>
      <c r="H869" s="21"/>
    </row>
    <row r="870">
      <c r="C870" s="20"/>
      <c r="D870" s="20"/>
      <c r="H870" s="21"/>
    </row>
    <row r="871">
      <c r="C871" s="20"/>
      <c r="D871" s="20"/>
      <c r="H871" s="21"/>
    </row>
    <row r="872">
      <c r="C872" s="20"/>
      <c r="D872" s="20"/>
      <c r="H872" s="21"/>
    </row>
    <row r="873">
      <c r="C873" s="20"/>
      <c r="D873" s="20"/>
      <c r="H873" s="21"/>
    </row>
    <row r="874">
      <c r="C874" s="20"/>
      <c r="D874" s="20"/>
      <c r="H874" s="21"/>
    </row>
    <row r="875">
      <c r="C875" s="20"/>
      <c r="D875" s="20"/>
      <c r="H875" s="21"/>
    </row>
    <row r="876">
      <c r="C876" s="20"/>
      <c r="D876" s="20"/>
      <c r="H876" s="21"/>
    </row>
    <row r="877">
      <c r="C877" s="20"/>
      <c r="D877" s="20"/>
      <c r="H877" s="21"/>
    </row>
    <row r="878">
      <c r="C878" s="20"/>
      <c r="D878" s="20"/>
      <c r="H878" s="21"/>
    </row>
    <row r="879">
      <c r="C879" s="20"/>
      <c r="D879" s="20"/>
      <c r="H879" s="21"/>
    </row>
    <row r="880">
      <c r="C880" s="20"/>
      <c r="D880" s="20"/>
      <c r="H880" s="21"/>
    </row>
    <row r="881">
      <c r="C881" s="20"/>
      <c r="D881" s="20"/>
      <c r="H881" s="21"/>
    </row>
    <row r="882">
      <c r="C882" s="20"/>
      <c r="D882" s="20"/>
      <c r="H882" s="21"/>
    </row>
    <row r="883">
      <c r="C883" s="20"/>
      <c r="D883" s="20"/>
      <c r="H883" s="21"/>
    </row>
    <row r="884">
      <c r="C884" s="20"/>
      <c r="D884" s="20"/>
      <c r="H884" s="21"/>
    </row>
    <row r="885">
      <c r="C885" s="20"/>
      <c r="D885" s="20"/>
      <c r="H885" s="21"/>
    </row>
    <row r="886">
      <c r="C886" s="20"/>
      <c r="D886" s="20"/>
      <c r="H886" s="21"/>
    </row>
    <row r="887">
      <c r="C887" s="20"/>
      <c r="D887" s="20"/>
      <c r="H887" s="21"/>
    </row>
    <row r="888">
      <c r="C888" s="20"/>
      <c r="D888" s="20"/>
      <c r="H888" s="21"/>
    </row>
    <row r="889">
      <c r="C889" s="20"/>
      <c r="D889" s="20"/>
      <c r="H889" s="21"/>
    </row>
    <row r="890">
      <c r="C890" s="20"/>
      <c r="D890" s="20"/>
      <c r="H890" s="21"/>
    </row>
    <row r="891">
      <c r="C891" s="20"/>
      <c r="D891" s="20"/>
      <c r="H891" s="21"/>
    </row>
    <row r="892">
      <c r="C892" s="20"/>
      <c r="D892" s="20"/>
      <c r="H892" s="21"/>
    </row>
    <row r="893">
      <c r="C893" s="20"/>
      <c r="D893" s="20"/>
      <c r="H893" s="21"/>
    </row>
    <row r="894">
      <c r="C894" s="20"/>
      <c r="D894" s="20"/>
      <c r="H894" s="21"/>
    </row>
    <row r="895">
      <c r="C895" s="20"/>
      <c r="D895" s="20"/>
      <c r="H895" s="21"/>
    </row>
    <row r="896">
      <c r="C896" s="20"/>
      <c r="D896" s="20"/>
      <c r="H896" s="21"/>
    </row>
    <row r="897">
      <c r="C897" s="20"/>
      <c r="D897" s="20"/>
      <c r="H897" s="21"/>
    </row>
    <row r="898">
      <c r="C898" s="20"/>
      <c r="D898" s="20"/>
      <c r="H898" s="21"/>
    </row>
    <row r="899">
      <c r="C899" s="20"/>
      <c r="D899" s="20"/>
      <c r="H899" s="21"/>
    </row>
    <row r="900">
      <c r="C900" s="20"/>
      <c r="D900" s="20"/>
      <c r="H900" s="21"/>
    </row>
    <row r="901">
      <c r="C901" s="20"/>
      <c r="D901" s="20"/>
      <c r="H901" s="21"/>
    </row>
    <row r="902">
      <c r="C902" s="20"/>
      <c r="D902" s="20"/>
      <c r="H902" s="21"/>
    </row>
    <row r="903">
      <c r="C903" s="20"/>
      <c r="D903" s="20"/>
      <c r="H903" s="21"/>
    </row>
    <row r="904">
      <c r="C904" s="20"/>
      <c r="D904" s="20"/>
      <c r="H904" s="21"/>
    </row>
    <row r="905">
      <c r="C905" s="20"/>
      <c r="D905" s="20"/>
      <c r="H905" s="21"/>
    </row>
    <row r="906">
      <c r="C906" s="20"/>
      <c r="D906" s="20"/>
      <c r="H906" s="21"/>
    </row>
    <row r="907">
      <c r="C907" s="20"/>
      <c r="D907" s="20"/>
      <c r="H907" s="21"/>
    </row>
    <row r="908">
      <c r="C908" s="20"/>
      <c r="D908" s="20"/>
      <c r="H908" s="21"/>
    </row>
    <row r="909">
      <c r="C909" s="20"/>
      <c r="D909" s="20"/>
      <c r="H909" s="21"/>
    </row>
    <row r="910">
      <c r="C910" s="20"/>
      <c r="D910" s="20"/>
      <c r="H910" s="21"/>
    </row>
    <row r="911">
      <c r="C911" s="20"/>
      <c r="D911" s="20"/>
      <c r="H911" s="21"/>
    </row>
    <row r="912">
      <c r="C912" s="20"/>
      <c r="D912" s="20"/>
      <c r="H912" s="21"/>
    </row>
    <row r="913">
      <c r="C913" s="20"/>
      <c r="D913" s="20"/>
      <c r="H913" s="21"/>
    </row>
    <row r="914">
      <c r="C914" s="20"/>
      <c r="D914" s="20"/>
      <c r="H914" s="21"/>
    </row>
    <row r="915">
      <c r="C915" s="20"/>
      <c r="D915" s="20"/>
      <c r="H915" s="21"/>
    </row>
    <row r="916">
      <c r="C916" s="20"/>
      <c r="D916" s="20"/>
      <c r="H916" s="21"/>
    </row>
    <row r="917">
      <c r="C917" s="20"/>
      <c r="D917" s="20"/>
      <c r="H917" s="21"/>
    </row>
    <row r="918">
      <c r="C918" s="20"/>
      <c r="D918" s="20"/>
      <c r="H918" s="21"/>
    </row>
    <row r="919">
      <c r="C919" s="20"/>
      <c r="D919" s="20"/>
      <c r="H919" s="21"/>
    </row>
    <row r="920">
      <c r="C920" s="20"/>
      <c r="D920" s="20"/>
      <c r="H920" s="21"/>
    </row>
    <row r="921">
      <c r="C921" s="20"/>
      <c r="D921" s="20"/>
      <c r="H921" s="21"/>
    </row>
    <row r="922">
      <c r="C922" s="20"/>
      <c r="D922" s="20"/>
      <c r="H922" s="21"/>
    </row>
    <row r="923">
      <c r="C923" s="20"/>
      <c r="D923" s="20"/>
      <c r="H923" s="21"/>
    </row>
    <row r="924">
      <c r="C924" s="20"/>
      <c r="D924" s="20"/>
      <c r="H924" s="21"/>
    </row>
    <row r="925">
      <c r="C925" s="20"/>
      <c r="D925" s="20"/>
      <c r="H925" s="21"/>
    </row>
    <row r="926">
      <c r="C926" s="20"/>
      <c r="D926" s="20"/>
      <c r="H926" s="21"/>
    </row>
    <row r="927">
      <c r="C927" s="20"/>
      <c r="D927" s="20"/>
      <c r="H927" s="21"/>
    </row>
    <row r="928">
      <c r="C928" s="20"/>
      <c r="D928" s="20"/>
      <c r="H928" s="21"/>
    </row>
    <row r="929">
      <c r="C929" s="20"/>
      <c r="D929" s="20"/>
      <c r="H929" s="21"/>
    </row>
    <row r="930">
      <c r="C930" s="20"/>
      <c r="D930" s="20"/>
      <c r="H930" s="21"/>
    </row>
    <row r="931">
      <c r="C931" s="20"/>
      <c r="D931" s="20"/>
      <c r="H931" s="21"/>
    </row>
    <row r="932">
      <c r="C932" s="20"/>
      <c r="D932" s="20"/>
      <c r="H932" s="21"/>
    </row>
    <row r="933">
      <c r="C933" s="20"/>
      <c r="D933" s="20"/>
      <c r="H933" s="21"/>
    </row>
    <row r="934">
      <c r="C934" s="20"/>
      <c r="D934" s="20"/>
      <c r="H934" s="21"/>
    </row>
    <row r="935">
      <c r="C935" s="20"/>
      <c r="D935" s="20"/>
      <c r="H935" s="21"/>
    </row>
    <row r="936">
      <c r="C936" s="20"/>
      <c r="D936" s="20"/>
      <c r="H936" s="21"/>
    </row>
    <row r="937">
      <c r="C937" s="20"/>
      <c r="D937" s="20"/>
      <c r="H937" s="21"/>
    </row>
    <row r="938">
      <c r="C938" s="20"/>
      <c r="D938" s="20"/>
      <c r="H938" s="21"/>
    </row>
    <row r="939">
      <c r="C939" s="20"/>
      <c r="D939" s="20"/>
      <c r="H939" s="21"/>
    </row>
    <row r="940">
      <c r="C940" s="20"/>
      <c r="D940" s="20"/>
      <c r="H940" s="21"/>
    </row>
    <row r="941">
      <c r="C941" s="20"/>
      <c r="D941" s="20"/>
      <c r="H941" s="21"/>
    </row>
    <row r="942">
      <c r="C942" s="20"/>
      <c r="D942" s="20"/>
      <c r="H942" s="21"/>
    </row>
    <row r="943">
      <c r="C943" s="20"/>
      <c r="D943" s="20"/>
      <c r="H943" s="21"/>
    </row>
    <row r="944">
      <c r="C944" s="20"/>
      <c r="D944" s="20"/>
      <c r="H944" s="21"/>
    </row>
    <row r="945">
      <c r="C945" s="20"/>
      <c r="D945" s="20"/>
      <c r="H945" s="21"/>
    </row>
    <row r="946">
      <c r="C946" s="20"/>
      <c r="D946" s="20"/>
      <c r="H946" s="21"/>
    </row>
    <row r="947">
      <c r="C947" s="20"/>
      <c r="D947" s="20"/>
      <c r="H947" s="21"/>
    </row>
    <row r="948">
      <c r="C948" s="20"/>
      <c r="D948" s="20"/>
      <c r="H948" s="21"/>
    </row>
    <row r="949">
      <c r="C949" s="20"/>
      <c r="D949" s="20"/>
      <c r="H949" s="21"/>
    </row>
    <row r="950">
      <c r="C950" s="20"/>
      <c r="D950" s="20"/>
      <c r="H950" s="21"/>
    </row>
    <row r="951">
      <c r="C951" s="20"/>
      <c r="D951" s="20"/>
      <c r="H951" s="21"/>
    </row>
    <row r="952">
      <c r="C952" s="20"/>
      <c r="D952" s="20"/>
      <c r="H952" s="21"/>
    </row>
    <row r="953">
      <c r="C953" s="20"/>
      <c r="D953" s="20"/>
      <c r="H953" s="21"/>
    </row>
    <row r="954">
      <c r="C954" s="20"/>
      <c r="D954" s="20"/>
      <c r="H954" s="21"/>
    </row>
    <row r="955">
      <c r="C955" s="20"/>
      <c r="D955" s="20"/>
      <c r="H955" s="21"/>
    </row>
    <row r="956">
      <c r="C956" s="20"/>
      <c r="D956" s="20"/>
      <c r="H956" s="21"/>
    </row>
    <row r="957">
      <c r="C957" s="20"/>
      <c r="D957" s="20"/>
      <c r="H957" s="21"/>
    </row>
    <row r="958">
      <c r="C958" s="20"/>
      <c r="D958" s="20"/>
      <c r="H958" s="21"/>
    </row>
    <row r="959">
      <c r="C959" s="20"/>
      <c r="D959" s="20"/>
      <c r="H959" s="21"/>
    </row>
    <row r="960">
      <c r="C960" s="20"/>
      <c r="D960" s="20"/>
      <c r="H960" s="21"/>
    </row>
    <row r="961">
      <c r="C961" s="20"/>
      <c r="D961" s="20"/>
      <c r="H961" s="21"/>
    </row>
    <row r="962">
      <c r="C962" s="20"/>
      <c r="D962" s="20"/>
      <c r="H962" s="21"/>
    </row>
    <row r="963">
      <c r="C963" s="20"/>
      <c r="D963" s="20"/>
      <c r="H963" s="21"/>
    </row>
    <row r="964">
      <c r="C964" s="20"/>
      <c r="D964" s="20"/>
      <c r="H964" s="21"/>
    </row>
    <row r="965">
      <c r="C965" s="20"/>
      <c r="D965" s="20"/>
      <c r="H965" s="21"/>
    </row>
    <row r="966">
      <c r="C966" s="20"/>
      <c r="D966" s="20"/>
      <c r="H966" s="21"/>
    </row>
    <row r="967">
      <c r="C967" s="20"/>
      <c r="D967" s="20"/>
      <c r="H967" s="21"/>
    </row>
    <row r="968">
      <c r="C968" s="20"/>
      <c r="D968" s="20"/>
      <c r="H968" s="21"/>
    </row>
    <row r="969">
      <c r="C969" s="20"/>
      <c r="D969" s="20"/>
      <c r="H969" s="21"/>
    </row>
    <row r="970">
      <c r="C970" s="20"/>
      <c r="D970" s="20"/>
      <c r="H970" s="21"/>
    </row>
    <row r="971">
      <c r="C971" s="20"/>
      <c r="D971" s="20"/>
      <c r="H971" s="21"/>
    </row>
    <row r="972">
      <c r="C972" s="20"/>
      <c r="D972" s="20"/>
      <c r="H972" s="21"/>
    </row>
    <row r="973">
      <c r="C973" s="20"/>
      <c r="D973" s="20"/>
      <c r="H973" s="21"/>
    </row>
    <row r="974">
      <c r="C974" s="20"/>
      <c r="D974" s="20"/>
      <c r="H974" s="21"/>
    </row>
    <row r="975">
      <c r="C975" s="20"/>
      <c r="D975" s="20"/>
      <c r="H975" s="21"/>
    </row>
    <row r="976">
      <c r="C976" s="20"/>
      <c r="D976" s="20"/>
      <c r="H976" s="21"/>
    </row>
    <row r="977">
      <c r="C977" s="20"/>
      <c r="D977" s="20"/>
      <c r="H977" s="21"/>
    </row>
    <row r="978">
      <c r="C978" s="20"/>
      <c r="D978" s="20"/>
      <c r="H978" s="21"/>
    </row>
    <row r="979">
      <c r="C979" s="20"/>
      <c r="D979" s="20"/>
      <c r="H979" s="21"/>
    </row>
    <row r="980">
      <c r="C980" s="20"/>
      <c r="D980" s="20"/>
      <c r="H980" s="21"/>
    </row>
    <row r="981">
      <c r="C981" s="20"/>
      <c r="D981" s="20"/>
      <c r="H981" s="21"/>
    </row>
    <row r="982">
      <c r="C982" s="20"/>
      <c r="D982" s="20"/>
      <c r="H982" s="21"/>
    </row>
    <row r="983">
      <c r="C983" s="20"/>
      <c r="D983" s="20"/>
      <c r="H983" s="21"/>
    </row>
    <row r="984">
      <c r="C984" s="20"/>
      <c r="D984" s="20"/>
      <c r="H984" s="21"/>
    </row>
    <row r="985">
      <c r="C985" s="20"/>
      <c r="D985" s="20"/>
      <c r="H985" s="21"/>
    </row>
    <row r="986">
      <c r="C986" s="20"/>
      <c r="D986" s="20"/>
      <c r="H986" s="21"/>
    </row>
    <row r="987">
      <c r="C987" s="20"/>
      <c r="D987" s="20"/>
      <c r="H987" s="21"/>
    </row>
    <row r="988">
      <c r="C988" s="20"/>
      <c r="D988" s="20"/>
      <c r="H988" s="21"/>
    </row>
    <row r="989">
      <c r="C989" s="20"/>
      <c r="D989" s="20"/>
      <c r="H989" s="21"/>
    </row>
    <row r="990">
      <c r="C990" s="20"/>
      <c r="D990" s="20"/>
      <c r="H990" s="21"/>
    </row>
    <row r="991">
      <c r="C991" s="20"/>
      <c r="D991" s="20"/>
      <c r="H991" s="21"/>
    </row>
    <row r="992">
      <c r="C992" s="20"/>
      <c r="D992" s="20"/>
      <c r="H992" s="21"/>
    </row>
    <row r="993">
      <c r="C993" s="20"/>
      <c r="D993" s="20"/>
      <c r="H993" s="21"/>
    </row>
    <row r="994">
      <c r="C994" s="20"/>
      <c r="D994" s="20"/>
      <c r="H994" s="21"/>
    </row>
    <row r="995">
      <c r="C995" s="20"/>
      <c r="D995" s="20"/>
      <c r="H995" s="21"/>
    </row>
    <row r="996">
      <c r="C996" s="20"/>
      <c r="D996" s="20"/>
      <c r="H996" s="21"/>
    </row>
    <row r="997">
      <c r="C997" s="20"/>
      <c r="D997" s="20"/>
      <c r="H997" s="21"/>
    </row>
    <row r="998">
      <c r="C998" s="20"/>
      <c r="D998" s="20"/>
      <c r="H998" s="21"/>
    </row>
    <row r="999">
      <c r="C999" s="20"/>
      <c r="D999" s="20"/>
      <c r="H999" s="21"/>
    </row>
    <row r="1000">
      <c r="C1000" s="20"/>
      <c r="D1000" s="20"/>
      <c r="H1000" s="21"/>
    </row>
    <row r="1001">
      <c r="C1001" s="20"/>
      <c r="D1001" s="20"/>
      <c r="H1001" s="21"/>
    </row>
    <row r="1002">
      <c r="C1002" s="20"/>
      <c r="D1002" s="20"/>
      <c r="H1002" s="21"/>
    </row>
    <row r="1003">
      <c r="C1003" s="20"/>
      <c r="D1003" s="20"/>
      <c r="H1003" s="21"/>
    </row>
    <row r="1004">
      <c r="C1004" s="20"/>
      <c r="D1004" s="20"/>
      <c r="H1004" s="21"/>
    </row>
    <row r="1005">
      <c r="C1005" s="20"/>
      <c r="D1005" s="20"/>
      <c r="H1005" s="21"/>
    </row>
    <row r="1006">
      <c r="C1006" s="20"/>
      <c r="D1006" s="20"/>
      <c r="H1006" s="21"/>
    </row>
    <row r="1007">
      <c r="C1007" s="20"/>
      <c r="D1007" s="20"/>
      <c r="H1007" s="21"/>
    </row>
    <row r="1008">
      <c r="C1008" s="20"/>
      <c r="D1008" s="20"/>
      <c r="H1008" s="21"/>
    </row>
    <row r="1009">
      <c r="C1009" s="20"/>
      <c r="D1009" s="20"/>
      <c r="H1009" s="21"/>
    </row>
    <row r="1010">
      <c r="C1010" s="20"/>
      <c r="D1010" s="20"/>
      <c r="H1010" s="21"/>
    </row>
    <row r="1011">
      <c r="C1011" s="20"/>
      <c r="D1011" s="20"/>
      <c r="H1011" s="21"/>
    </row>
    <row r="1012">
      <c r="C1012" s="20"/>
      <c r="D1012" s="20"/>
      <c r="H1012" s="21"/>
    </row>
    <row r="1013">
      <c r="C1013" s="20"/>
      <c r="D1013" s="20"/>
      <c r="H1013" s="21"/>
    </row>
    <row r="1014">
      <c r="C1014" s="20"/>
      <c r="D1014" s="20"/>
      <c r="H1014" s="21"/>
    </row>
    <row r="1015">
      <c r="C1015" s="20"/>
      <c r="D1015" s="20"/>
      <c r="H1015" s="21"/>
    </row>
    <row r="1016">
      <c r="C1016" s="20"/>
      <c r="D1016" s="20"/>
      <c r="H1016" s="21"/>
    </row>
    <row r="1017">
      <c r="C1017" s="20"/>
      <c r="D1017" s="20"/>
      <c r="H1017" s="21"/>
    </row>
    <row r="1018">
      <c r="C1018" s="20"/>
      <c r="D1018" s="20"/>
      <c r="H1018" s="21"/>
    </row>
    <row r="1019">
      <c r="C1019" s="20"/>
      <c r="D1019" s="20"/>
      <c r="H1019" s="21"/>
    </row>
    <row r="1020">
      <c r="C1020" s="20"/>
      <c r="D1020" s="20"/>
      <c r="H1020" s="21"/>
    </row>
    <row r="1021">
      <c r="C1021" s="20"/>
      <c r="D1021" s="20"/>
      <c r="H1021" s="21"/>
    </row>
    <row r="1022">
      <c r="C1022" s="20"/>
      <c r="D1022" s="20"/>
      <c r="H1022" s="21"/>
    </row>
    <row r="1023">
      <c r="C1023" s="20"/>
      <c r="D1023" s="20"/>
      <c r="H1023" s="21"/>
    </row>
    <row r="1024">
      <c r="C1024" s="20"/>
      <c r="D1024" s="20"/>
      <c r="H1024" s="21"/>
    </row>
    <row r="1025">
      <c r="C1025" s="20"/>
      <c r="D1025" s="20"/>
      <c r="H1025" s="21"/>
    </row>
    <row r="1026">
      <c r="C1026" s="20"/>
      <c r="D1026" s="20"/>
      <c r="H1026" s="21"/>
    </row>
    <row r="1027">
      <c r="C1027" s="20"/>
      <c r="D1027" s="20"/>
      <c r="H1027" s="21"/>
    </row>
    <row r="1028">
      <c r="C1028" s="20"/>
      <c r="D1028" s="20"/>
      <c r="H1028" s="21"/>
    </row>
    <row r="1029">
      <c r="C1029" s="20"/>
      <c r="D1029" s="20"/>
      <c r="H1029" s="21"/>
    </row>
    <row r="1030">
      <c r="C1030" s="20"/>
      <c r="D1030" s="20"/>
      <c r="H1030" s="21"/>
    </row>
    <row r="1031">
      <c r="C1031" s="20"/>
      <c r="D1031" s="20"/>
      <c r="H1031" s="21"/>
    </row>
    <row r="1032">
      <c r="C1032" s="20"/>
      <c r="D1032" s="20"/>
      <c r="H1032" s="21"/>
    </row>
    <row r="1033">
      <c r="C1033" s="20"/>
      <c r="D1033" s="20"/>
      <c r="H1033" s="21"/>
    </row>
    <row r="1034">
      <c r="C1034" s="20"/>
      <c r="D1034" s="20"/>
      <c r="H1034" s="21"/>
    </row>
    <row r="1035">
      <c r="C1035" s="20"/>
      <c r="D1035" s="20"/>
      <c r="H1035" s="21"/>
    </row>
    <row r="1036">
      <c r="C1036" s="20"/>
      <c r="D1036" s="20"/>
      <c r="H1036" s="21"/>
    </row>
    <row r="1037">
      <c r="C1037" s="20"/>
      <c r="D1037" s="20"/>
      <c r="H1037" s="21"/>
    </row>
    <row r="1038">
      <c r="C1038" s="20"/>
      <c r="D1038" s="20"/>
      <c r="H1038" s="21"/>
    </row>
    <row r="1039">
      <c r="C1039" s="20"/>
      <c r="D1039" s="20"/>
      <c r="H1039" s="21"/>
    </row>
    <row r="1040">
      <c r="C1040" s="20"/>
      <c r="D1040" s="20"/>
      <c r="H1040" s="21"/>
    </row>
    <row r="1041">
      <c r="C1041" s="20"/>
      <c r="D1041" s="20"/>
      <c r="H1041" s="21"/>
    </row>
    <row r="1042">
      <c r="C1042" s="20"/>
      <c r="D1042" s="20"/>
      <c r="H1042" s="21"/>
    </row>
    <row r="1043">
      <c r="C1043" s="20"/>
      <c r="D1043" s="20"/>
      <c r="H1043" s="21"/>
    </row>
    <row r="1044">
      <c r="C1044" s="20"/>
      <c r="D1044" s="20"/>
      <c r="H1044" s="21"/>
    </row>
    <row r="1045">
      <c r="C1045" s="20"/>
      <c r="D1045" s="20"/>
      <c r="H1045" s="21"/>
    </row>
    <row r="1046">
      <c r="C1046" s="20"/>
      <c r="D1046" s="20"/>
      <c r="H1046" s="21"/>
    </row>
    <row r="1047">
      <c r="C1047" s="20"/>
      <c r="D1047" s="20"/>
      <c r="H1047" s="21"/>
    </row>
    <row r="1048">
      <c r="C1048" s="20"/>
      <c r="D1048" s="20"/>
      <c r="H1048" s="21"/>
    </row>
    <row r="1049">
      <c r="C1049" s="20"/>
      <c r="D1049" s="20"/>
      <c r="H1049" s="21"/>
    </row>
    <row r="1050">
      <c r="C1050" s="20"/>
      <c r="D1050" s="20"/>
      <c r="H1050" s="21"/>
    </row>
    <row r="1051">
      <c r="C1051" s="20"/>
      <c r="D1051" s="20"/>
      <c r="H1051" s="21"/>
    </row>
    <row r="1052">
      <c r="C1052" s="20"/>
      <c r="D1052" s="20"/>
      <c r="H1052" s="21"/>
    </row>
    <row r="1053">
      <c r="C1053" s="20"/>
      <c r="D1053" s="20"/>
      <c r="H1053" s="21"/>
    </row>
    <row r="1054">
      <c r="C1054" s="20"/>
      <c r="D1054" s="20"/>
      <c r="H1054" s="21"/>
    </row>
    <row r="1055">
      <c r="C1055" s="20"/>
      <c r="D1055" s="20"/>
      <c r="H1055" s="21"/>
    </row>
    <row r="1056">
      <c r="C1056" s="20"/>
      <c r="D1056" s="20"/>
      <c r="H1056" s="21"/>
    </row>
    <row r="1057">
      <c r="C1057" s="20"/>
      <c r="D1057" s="20"/>
      <c r="H1057" s="21"/>
    </row>
    <row r="1058">
      <c r="C1058" s="20"/>
      <c r="D1058" s="20"/>
      <c r="H1058" s="21"/>
    </row>
    <row r="1059">
      <c r="C1059" s="20"/>
      <c r="D1059" s="20"/>
      <c r="H1059" s="21"/>
    </row>
    <row r="1060">
      <c r="C1060" s="20"/>
      <c r="D1060" s="20"/>
      <c r="H1060" s="21"/>
    </row>
    <row r="1061">
      <c r="C1061" s="20"/>
      <c r="D1061" s="20"/>
      <c r="H1061" s="21"/>
    </row>
    <row r="1062">
      <c r="C1062" s="20"/>
      <c r="D1062" s="20"/>
      <c r="H1062" s="21"/>
    </row>
    <row r="1063">
      <c r="C1063" s="20"/>
      <c r="D1063" s="20"/>
      <c r="H1063" s="21"/>
    </row>
    <row r="1064">
      <c r="C1064" s="20"/>
      <c r="D1064" s="20"/>
      <c r="H1064" s="21"/>
    </row>
    <row r="1065">
      <c r="C1065" s="20"/>
      <c r="D1065" s="20"/>
      <c r="H1065" s="21"/>
    </row>
    <row r="1066">
      <c r="C1066" s="20"/>
      <c r="D1066" s="20"/>
      <c r="H1066" s="21"/>
    </row>
    <row r="1067">
      <c r="C1067" s="20"/>
      <c r="D1067" s="20"/>
      <c r="H1067" s="21"/>
    </row>
    <row r="1068">
      <c r="C1068" s="20"/>
      <c r="D1068" s="20"/>
      <c r="H1068" s="21"/>
    </row>
    <row r="1069">
      <c r="C1069" s="20"/>
      <c r="D1069" s="20"/>
      <c r="H1069" s="21"/>
    </row>
    <row r="1070">
      <c r="C1070" s="20"/>
      <c r="D1070" s="20"/>
      <c r="H1070" s="21"/>
    </row>
    <row r="1071">
      <c r="C1071" s="20"/>
      <c r="D1071" s="20"/>
      <c r="H1071" s="21"/>
    </row>
    <row r="1072">
      <c r="C1072" s="20"/>
      <c r="D1072" s="20"/>
      <c r="H1072" s="21"/>
    </row>
    <row r="1073">
      <c r="C1073" s="20"/>
      <c r="D1073" s="20"/>
      <c r="H1073" s="21"/>
    </row>
    <row r="1074">
      <c r="C1074" s="20"/>
      <c r="D1074" s="20"/>
      <c r="H1074" s="21"/>
    </row>
    <row r="1075">
      <c r="C1075" s="20"/>
      <c r="D1075" s="20"/>
      <c r="H1075" s="21"/>
    </row>
    <row r="1076">
      <c r="C1076" s="20"/>
      <c r="D1076" s="20"/>
      <c r="H1076" s="21"/>
    </row>
    <row r="1077">
      <c r="C1077" s="20"/>
      <c r="D1077" s="20"/>
      <c r="H1077" s="21"/>
    </row>
    <row r="1078">
      <c r="C1078" s="20"/>
      <c r="D1078" s="20"/>
      <c r="H1078" s="21"/>
    </row>
    <row r="1079">
      <c r="C1079" s="20"/>
      <c r="D1079" s="20"/>
      <c r="H1079" s="21"/>
    </row>
    <row r="1080">
      <c r="C1080" s="20"/>
      <c r="D1080" s="20"/>
      <c r="H1080" s="21"/>
    </row>
    <row r="1081">
      <c r="C1081" s="20"/>
      <c r="D1081" s="20"/>
      <c r="H1081" s="21"/>
    </row>
    <row r="1082">
      <c r="C1082" s="20"/>
      <c r="D1082" s="20"/>
      <c r="H1082" s="21"/>
    </row>
    <row r="1083">
      <c r="C1083" s="20"/>
      <c r="D1083" s="20"/>
      <c r="H1083" s="21"/>
    </row>
    <row r="1084">
      <c r="C1084" s="20"/>
      <c r="D1084" s="20"/>
      <c r="H1084" s="21"/>
    </row>
    <row r="1085">
      <c r="C1085" s="20"/>
      <c r="D1085" s="20"/>
      <c r="H1085" s="21"/>
    </row>
    <row r="1086">
      <c r="C1086" s="20"/>
      <c r="D1086" s="20"/>
      <c r="H1086" s="21"/>
    </row>
    <row r="1087">
      <c r="C1087" s="20"/>
      <c r="D1087" s="20"/>
      <c r="H1087" s="21"/>
    </row>
    <row r="1088">
      <c r="C1088" s="20"/>
      <c r="D1088" s="20"/>
      <c r="H1088" s="21"/>
    </row>
    <row r="1089">
      <c r="C1089" s="20"/>
      <c r="D1089" s="20"/>
      <c r="H1089" s="21"/>
    </row>
    <row r="1090">
      <c r="C1090" s="20"/>
      <c r="D1090" s="20"/>
      <c r="H1090" s="21"/>
    </row>
    <row r="1091">
      <c r="C1091" s="20"/>
      <c r="D1091" s="20"/>
      <c r="H1091" s="21"/>
    </row>
    <row r="1092">
      <c r="C1092" s="20"/>
      <c r="D1092" s="20"/>
      <c r="H1092" s="21"/>
    </row>
    <row r="1093">
      <c r="C1093" s="20"/>
      <c r="D1093" s="20"/>
      <c r="H1093" s="21"/>
    </row>
    <row r="1094">
      <c r="C1094" s="20"/>
      <c r="D1094" s="20"/>
      <c r="H1094" s="21"/>
    </row>
    <row r="1095">
      <c r="C1095" s="20"/>
      <c r="D1095" s="20"/>
      <c r="H1095" s="21"/>
    </row>
  </sheetData>
  <mergeCells count="48">
    <mergeCell ref="E154:F154"/>
    <mergeCell ref="H154:I154"/>
    <mergeCell ref="E115:I115"/>
    <mergeCell ref="E116:F116"/>
    <mergeCell ref="H116:I116"/>
    <mergeCell ref="E134:I134"/>
    <mergeCell ref="E135:F135"/>
    <mergeCell ref="H135:I135"/>
    <mergeCell ref="E153:I153"/>
    <mergeCell ref="E1:I1"/>
    <mergeCell ref="E2:F2"/>
    <mergeCell ref="H2:I2"/>
    <mergeCell ref="E20:I20"/>
    <mergeCell ref="E21:F21"/>
    <mergeCell ref="H21:I21"/>
    <mergeCell ref="E39:I39"/>
    <mergeCell ref="AD96:AG96"/>
    <mergeCell ref="AH96:AK96"/>
    <mergeCell ref="H78:I78"/>
    <mergeCell ref="E96:I96"/>
    <mergeCell ref="J96:M96"/>
    <mergeCell ref="N96:Q96"/>
    <mergeCell ref="R96:U96"/>
    <mergeCell ref="V96:Y96"/>
    <mergeCell ref="Z96:AC96"/>
    <mergeCell ref="E97:F97"/>
    <mergeCell ref="H97:I97"/>
    <mergeCell ref="J97:K97"/>
    <mergeCell ref="L97:M97"/>
    <mergeCell ref="N97:O97"/>
    <mergeCell ref="P97:Q97"/>
    <mergeCell ref="R97:S97"/>
    <mergeCell ref="AH97:AI97"/>
    <mergeCell ref="AJ97:AK97"/>
    <mergeCell ref="T97:U97"/>
    <mergeCell ref="V97:W97"/>
    <mergeCell ref="X97:Y97"/>
    <mergeCell ref="Z97:AA97"/>
    <mergeCell ref="AB97:AC97"/>
    <mergeCell ref="AD97:AE97"/>
    <mergeCell ref="AF97:AG97"/>
    <mergeCell ref="E40:F40"/>
    <mergeCell ref="H40:I40"/>
    <mergeCell ref="E58:I58"/>
    <mergeCell ref="E59:F59"/>
    <mergeCell ref="H59:I59"/>
    <mergeCell ref="E77:I77"/>
    <mergeCell ref="E78:F7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4" width="5.0"/>
    <col customWidth="1" min="5" max="6" width="4.13"/>
    <col customWidth="1" min="7" max="7" width="5.0"/>
    <col customWidth="1" min="8" max="11" width="4.13"/>
    <col customWidth="1" min="12" max="13" width="5.0"/>
    <col customWidth="1" min="14" max="16" width="4.13"/>
    <col customWidth="1" min="17" max="18" width="5.0"/>
    <col customWidth="1" min="19" max="21" width="4.13"/>
    <col customWidth="1" min="22" max="23" width="5.0"/>
    <col customWidth="1" min="24" max="26" width="4.13"/>
    <col customWidth="1" min="27" max="27" width="5.0"/>
    <col customWidth="1" min="28" max="31" width="3.0"/>
    <col customWidth="1" min="32" max="33" width="5.0"/>
    <col customWidth="1" min="34" max="34" width="3.0"/>
    <col customWidth="1" min="35" max="36" width="4.13"/>
    <col customWidth="1" min="37" max="38" width="5.0"/>
    <col customWidth="1" min="39" max="39" width="3.0"/>
    <col customWidth="1" min="40" max="41" width="4.13"/>
    <col customWidth="1" min="42" max="43" width="5.0"/>
    <col customWidth="1" min="44" max="44" width="3.0"/>
    <col customWidth="1" min="45" max="61" width="4.13"/>
  </cols>
  <sheetData>
    <row r="3">
      <c r="B3" s="22" t="s">
        <v>45</v>
      </c>
      <c r="C3" s="23"/>
      <c r="D3" s="23"/>
      <c r="E3" s="23"/>
      <c r="F3" s="24"/>
      <c r="G3" s="22" t="s">
        <v>46</v>
      </c>
      <c r="H3" s="23"/>
      <c r="I3" s="23"/>
      <c r="J3" s="23"/>
      <c r="K3" s="24"/>
      <c r="L3" s="22" t="s">
        <v>47</v>
      </c>
      <c r="M3" s="23"/>
      <c r="N3" s="23"/>
      <c r="O3" s="23"/>
      <c r="P3" s="24"/>
      <c r="Q3" s="22" t="s">
        <v>48</v>
      </c>
      <c r="R3" s="23"/>
      <c r="S3" s="23"/>
      <c r="T3" s="23"/>
      <c r="U3" s="24"/>
      <c r="V3" s="22" t="s">
        <v>49</v>
      </c>
      <c r="W3" s="23"/>
      <c r="X3" s="23"/>
      <c r="Y3" s="23"/>
      <c r="Z3" s="24"/>
      <c r="AA3" s="22" t="s">
        <v>50</v>
      </c>
      <c r="AB3" s="23"/>
      <c r="AC3" s="23"/>
      <c r="AD3" s="23"/>
      <c r="AE3" s="24"/>
      <c r="AF3" s="22" t="s">
        <v>51</v>
      </c>
      <c r="AG3" s="23"/>
      <c r="AH3" s="23"/>
      <c r="AI3" s="23"/>
      <c r="AJ3" s="24"/>
      <c r="AK3" s="22" t="s">
        <v>52</v>
      </c>
      <c r="AL3" s="23"/>
      <c r="AM3" s="23"/>
      <c r="AN3" s="23"/>
      <c r="AO3" s="24"/>
      <c r="AP3" s="25" t="s">
        <v>53</v>
      </c>
      <c r="AQ3" s="23"/>
      <c r="AR3" s="23"/>
      <c r="AS3" s="23"/>
      <c r="AT3" s="24"/>
      <c r="AU3" s="25" t="s">
        <v>54</v>
      </c>
      <c r="AV3" s="23"/>
      <c r="AW3" s="23"/>
      <c r="AX3" s="23"/>
      <c r="AY3" s="24"/>
      <c r="AZ3" s="25" t="s">
        <v>55</v>
      </c>
      <c r="BA3" s="23"/>
      <c r="BB3" s="23"/>
      <c r="BC3" s="23"/>
      <c r="BD3" s="24"/>
      <c r="BE3" s="25" t="s">
        <v>56</v>
      </c>
      <c r="BF3" s="23"/>
      <c r="BG3" s="23"/>
      <c r="BH3" s="23"/>
      <c r="BI3" s="24"/>
    </row>
    <row r="4">
      <c r="B4" s="26" t="s">
        <v>57</v>
      </c>
      <c r="C4" s="6" t="s">
        <v>58</v>
      </c>
      <c r="D4" s="6" t="s">
        <v>59</v>
      </c>
      <c r="E4" s="6" t="s">
        <v>60</v>
      </c>
      <c r="F4" s="6" t="s">
        <v>61</v>
      </c>
      <c r="G4" s="26" t="s">
        <v>57</v>
      </c>
      <c r="H4" s="6" t="s">
        <v>58</v>
      </c>
      <c r="I4" s="6" t="s">
        <v>59</v>
      </c>
      <c r="J4" s="6" t="s">
        <v>60</v>
      </c>
      <c r="K4" s="6" t="s">
        <v>61</v>
      </c>
      <c r="L4" s="26" t="s">
        <v>57</v>
      </c>
      <c r="M4" s="6" t="s">
        <v>58</v>
      </c>
      <c r="N4" s="6" t="s">
        <v>59</v>
      </c>
      <c r="O4" s="6" t="s">
        <v>60</v>
      </c>
      <c r="P4" s="6" t="s">
        <v>61</v>
      </c>
      <c r="Q4" s="26" t="s">
        <v>57</v>
      </c>
      <c r="R4" s="6" t="s">
        <v>58</v>
      </c>
      <c r="S4" s="6" t="s">
        <v>59</v>
      </c>
      <c r="T4" s="6" t="s">
        <v>60</v>
      </c>
      <c r="U4" s="6" t="s">
        <v>61</v>
      </c>
      <c r="V4" s="26" t="s">
        <v>57</v>
      </c>
      <c r="W4" s="6" t="s">
        <v>58</v>
      </c>
      <c r="X4" s="6" t="s">
        <v>59</v>
      </c>
      <c r="Y4" s="6" t="s">
        <v>60</v>
      </c>
      <c r="Z4" s="6" t="s">
        <v>61</v>
      </c>
      <c r="AA4" s="26" t="s">
        <v>57</v>
      </c>
      <c r="AB4" s="6" t="s">
        <v>58</v>
      </c>
      <c r="AC4" s="6" t="s">
        <v>59</v>
      </c>
      <c r="AD4" s="6" t="s">
        <v>60</v>
      </c>
      <c r="AE4" s="6" t="s">
        <v>61</v>
      </c>
      <c r="AF4" s="26" t="s">
        <v>57</v>
      </c>
      <c r="AG4" s="6" t="s">
        <v>58</v>
      </c>
      <c r="AH4" s="6" t="s">
        <v>59</v>
      </c>
      <c r="AI4" s="6" t="s">
        <v>60</v>
      </c>
      <c r="AJ4" s="6" t="s">
        <v>61</v>
      </c>
      <c r="AK4" s="26" t="s">
        <v>57</v>
      </c>
      <c r="AL4" s="6" t="s">
        <v>58</v>
      </c>
      <c r="AM4" s="6" t="s">
        <v>59</v>
      </c>
      <c r="AN4" s="6" t="s">
        <v>60</v>
      </c>
      <c r="AO4" s="27" t="s">
        <v>61</v>
      </c>
      <c r="AP4" s="28" t="s">
        <v>57</v>
      </c>
      <c r="AQ4" s="29" t="s">
        <v>58</v>
      </c>
      <c r="AR4" s="29" t="s">
        <v>59</v>
      </c>
      <c r="AS4" s="29" t="s">
        <v>60</v>
      </c>
      <c r="AT4" s="30" t="s">
        <v>61</v>
      </c>
      <c r="AU4" s="28" t="s">
        <v>57</v>
      </c>
      <c r="AV4" s="29" t="s">
        <v>58</v>
      </c>
      <c r="AW4" s="29" t="s">
        <v>59</v>
      </c>
      <c r="AX4" s="29" t="s">
        <v>60</v>
      </c>
      <c r="AY4" s="29" t="s">
        <v>61</v>
      </c>
      <c r="AZ4" s="28" t="s">
        <v>57</v>
      </c>
      <c r="BA4" s="29" t="s">
        <v>58</v>
      </c>
      <c r="BB4" s="29" t="s">
        <v>59</v>
      </c>
      <c r="BC4" s="29" t="s">
        <v>60</v>
      </c>
      <c r="BD4" s="30" t="s">
        <v>61</v>
      </c>
      <c r="BE4" s="28" t="s">
        <v>57</v>
      </c>
      <c r="BF4" s="29" t="s">
        <v>58</v>
      </c>
      <c r="BG4" s="29" t="s">
        <v>59</v>
      </c>
      <c r="BH4" s="29" t="s">
        <v>60</v>
      </c>
      <c r="BI4" s="30" t="s">
        <v>61</v>
      </c>
    </row>
    <row r="5">
      <c r="B5" s="31" t="s">
        <v>45</v>
      </c>
      <c r="C5" s="32" t="s">
        <v>45</v>
      </c>
      <c r="D5" s="32" t="s">
        <v>45</v>
      </c>
      <c r="E5" s="32" t="s">
        <v>45</v>
      </c>
      <c r="F5" s="32" t="s">
        <v>45</v>
      </c>
      <c r="G5" s="26" t="s">
        <v>46</v>
      </c>
      <c r="H5" s="6" t="s">
        <v>46</v>
      </c>
      <c r="I5" s="6" t="s">
        <v>46</v>
      </c>
      <c r="J5" s="6" t="s">
        <v>46</v>
      </c>
      <c r="K5" s="6" t="s">
        <v>46</v>
      </c>
      <c r="L5" s="26" t="s">
        <v>47</v>
      </c>
      <c r="M5" s="6" t="s">
        <v>47</v>
      </c>
      <c r="N5" s="6" t="s">
        <v>47</v>
      </c>
      <c r="O5" s="6" t="s">
        <v>47</v>
      </c>
      <c r="P5" s="6" t="s">
        <v>47</v>
      </c>
      <c r="Q5" s="26" t="s">
        <v>48</v>
      </c>
      <c r="R5" s="6" t="s">
        <v>48</v>
      </c>
      <c r="S5" s="6" t="s">
        <v>48</v>
      </c>
      <c r="T5" s="6" t="s">
        <v>48</v>
      </c>
      <c r="U5" s="6" t="s">
        <v>48</v>
      </c>
      <c r="V5" s="26" t="s">
        <v>49</v>
      </c>
      <c r="W5" s="6" t="s">
        <v>49</v>
      </c>
      <c r="X5" s="6" t="s">
        <v>49</v>
      </c>
      <c r="Y5" s="6" t="s">
        <v>49</v>
      </c>
      <c r="Z5" s="6" t="s">
        <v>49</v>
      </c>
      <c r="AA5" s="26" t="s">
        <v>50</v>
      </c>
      <c r="AB5" s="6" t="s">
        <v>50</v>
      </c>
      <c r="AC5" s="6" t="s">
        <v>50</v>
      </c>
      <c r="AD5" s="6" t="s">
        <v>50</v>
      </c>
      <c r="AE5" s="6" t="s">
        <v>50</v>
      </c>
      <c r="AF5" s="26" t="s">
        <v>51</v>
      </c>
      <c r="AG5" s="6" t="s">
        <v>51</v>
      </c>
      <c r="AH5" s="6" t="s">
        <v>51</v>
      </c>
      <c r="AI5" s="6" t="s">
        <v>51</v>
      </c>
      <c r="AJ5" s="6" t="s">
        <v>51</v>
      </c>
      <c r="AK5" s="26" t="s">
        <v>52</v>
      </c>
      <c r="AL5" s="6" t="s">
        <v>52</v>
      </c>
      <c r="AM5" s="6" t="s">
        <v>52</v>
      </c>
      <c r="AN5" s="6" t="s">
        <v>52</v>
      </c>
      <c r="AO5" s="27" t="s">
        <v>52</v>
      </c>
      <c r="AP5" s="33" t="s">
        <v>53</v>
      </c>
      <c r="AQ5" s="33" t="s">
        <v>53</v>
      </c>
      <c r="AR5" s="33" t="s">
        <v>53</v>
      </c>
      <c r="AS5" s="33" t="s">
        <v>53</v>
      </c>
      <c r="AT5" s="33" t="s">
        <v>53</v>
      </c>
      <c r="AU5" s="33" t="s">
        <v>54</v>
      </c>
      <c r="AV5" s="33" t="s">
        <v>54</v>
      </c>
      <c r="AW5" s="33" t="s">
        <v>54</v>
      </c>
      <c r="AX5" s="33" t="s">
        <v>54</v>
      </c>
      <c r="AY5" s="33" t="s">
        <v>54</v>
      </c>
      <c r="AZ5" s="33" t="s">
        <v>55</v>
      </c>
      <c r="BA5" s="33" t="s">
        <v>55</v>
      </c>
      <c r="BB5" s="33" t="s">
        <v>55</v>
      </c>
      <c r="BC5" s="33" t="s">
        <v>55</v>
      </c>
      <c r="BD5" s="33" t="s">
        <v>55</v>
      </c>
      <c r="BE5" s="33" t="s">
        <v>56</v>
      </c>
      <c r="BF5" s="33" t="s">
        <v>56</v>
      </c>
      <c r="BG5" s="33" t="s">
        <v>56</v>
      </c>
      <c r="BH5" s="33" t="s">
        <v>56</v>
      </c>
      <c r="BI5" s="33" t="s">
        <v>56</v>
      </c>
    </row>
    <row r="6">
      <c r="A6" s="4" t="s">
        <v>62</v>
      </c>
      <c r="B6" s="34">
        <v>76.96</v>
      </c>
      <c r="C6" s="4">
        <v>94.15</v>
      </c>
      <c r="D6" s="4">
        <v>0.0</v>
      </c>
      <c r="E6" s="4">
        <v>6.98</v>
      </c>
      <c r="F6" s="4">
        <v>6.22</v>
      </c>
      <c r="G6" s="34">
        <v>76.73</v>
      </c>
      <c r="H6" s="4">
        <v>93.8</v>
      </c>
      <c r="I6" s="4">
        <v>0.0</v>
      </c>
      <c r="J6" s="4">
        <v>6.57</v>
      </c>
      <c r="K6" s="4">
        <v>6.37</v>
      </c>
      <c r="L6" s="34">
        <v>78.67</v>
      </c>
      <c r="M6" s="4">
        <v>94.16</v>
      </c>
      <c r="O6" s="4">
        <v>6.5</v>
      </c>
      <c r="P6" s="4">
        <v>6.32</v>
      </c>
      <c r="Q6" s="34">
        <v>79.72</v>
      </c>
      <c r="R6" s="4">
        <v>91.53</v>
      </c>
      <c r="T6" s="4">
        <v>6.57</v>
      </c>
      <c r="U6" s="4">
        <v>6.29</v>
      </c>
      <c r="V6" s="34">
        <v>80.16</v>
      </c>
      <c r="W6" s="4">
        <v>93.79</v>
      </c>
      <c r="Y6" s="4">
        <v>7.28</v>
      </c>
      <c r="Z6" s="4">
        <v>6.45</v>
      </c>
      <c r="AA6" s="34">
        <v>73.42</v>
      </c>
      <c r="AB6" s="4">
        <v>85.71</v>
      </c>
      <c r="AD6" s="4">
        <v>7.19</v>
      </c>
      <c r="AE6" s="4">
        <v>6.27</v>
      </c>
      <c r="AF6" s="34">
        <v>86.16</v>
      </c>
      <c r="AG6" s="4">
        <v>100.0</v>
      </c>
      <c r="AI6" s="4">
        <v>7.34</v>
      </c>
      <c r="AJ6" s="4">
        <v>6.51</v>
      </c>
      <c r="AK6" s="34">
        <v>75.87</v>
      </c>
      <c r="AL6" s="4">
        <v>66.67</v>
      </c>
      <c r="AN6" s="4">
        <v>7.42</v>
      </c>
      <c r="AO6" s="35">
        <v>6.51</v>
      </c>
      <c r="AP6" s="36">
        <v>80.35</v>
      </c>
      <c r="AQ6" s="37">
        <v>93.11</v>
      </c>
      <c r="AR6" s="38"/>
      <c r="AS6" s="37">
        <v>7.41</v>
      </c>
      <c r="AT6" s="39">
        <v>6.49</v>
      </c>
      <c r="AU6" s="36">
        <v>84.17</v>
      </c>
      <c r="AV6" s="37">
        <v>95.04</v>
      </c>
      <c r="AW6" s="38"/>
      <c r="AX6" s="37">
        <v>7.5</v>
      </c>
      <c r="AY6" s="37">
        <v>6.76</v>
      </c>
      <c r="AZ6" s="36">
        <v>85.77</v>
      </c>
      <c r="BA6" s="40">
        <v>95.03</v>
      </c>
      <c r="BB6" s="38"/>
      <c r="BC6" s="37">
        <v>7.41</v>
      </c>
      <c r="BD6" s="39">
        <v>6.68</v>
      </c>
      <c r="BE6" s="41"/>
      <c r="BF6" s="42"/>
      <c r="BG6" s="38"/>
      <c r="BH6" s="42"/>
      <c r="BI6" s="43"/>
    </row>
    <row r="7">
      <c r="A7" s="4" t="s">
        <v>1</v>
      </c>
      <c r="B7" s="34">
        <v>75.0</v>
      </c>
      <c r="C7" s="4">
        <v>100.0</v>
      </c>
      <c r="D7" s="4">
        <v>26.0</v>
      </c>
      <c r="E7" s="4">
        <v>6.83</v>
      </c>
      <c r="F7" s="4">
        <v>6.61</v>
      </c>
      <c r="G7" s="34">
        <v>87.5</v>
      </c>
      <c r="H7" s="4">
        <v>100.0</v>
      </c>
      <c r="I7" s="4">
        <v>28.0</v>
      </c>
      <c r="J7" s="4">
        <v>6.71</v>
      </c>
      <c r="K7" s="4">
        <v>6.71</v>
      </c>
      <c r="L7" s="34">
        <v>95.24</v>
      </c>
      <c r="M7" s="4">
        <v>96.97</v>
      </c>
      <c r="N7" s="4">
        <v>33.0</v>
      </c>
      <c r="O7" s="4">
        <v>6.14</v>
      </c>
      <c r="P7" s="4">
        <v>6.06</v>
      </c>
      <c r="Q7" s="34">
        <v>88.89</v>
      </c>
      <c r="R7" s="4">
        <v>94.29</v>
      </c>
      <c r="S7" s="4">
        <v>35.0</v>
      </c>
      <c r="T7" s="4">
        <v>6.17</v>
      </c>
      <c r="U7" s="4">
        <v>6.0</v>
      </c>
      <c r="V7" s="34">
        <v>88.64</v>
      </c>
      <c r="W7" s="4">
        <v>93.55</v>
      </c>
      <c r="X7" s="4">
        <v>31.0</v>
      </c>
      <c r="Y7" s="4">
        <v>6.8</v>
      </c>
      <c r="Z7" s="4">
        <v>5.99</v>
      </c>
      <c r="AA7" s="44"/>
      <c r="AB7" s="4">
        <v>95.65</v>
      </c>
      <c r="AC7" s="4">
        <v>46.0</v>
      </c>
      <c r="AD7" s="4">
        <v>6.7</v>
      </c>
      <c r="AE7" s="4">
        <v>5.88</v>
      </c>
      <c r="AF7" s="44"/>
      <c r="AG7" s="4">
        <v>87.5</v>
      </c>
      <c r="AH7" s="4">
        <v>56.0</v>
      </c>
      <c r="AI7" s="4">
        <v>7.39</v>
      </c>
      <c r="AJ7" s="4">
        <v>6.29</v>
      </c>
      <c r="AK7" s="44"/>
      <c r="AL7" s="4">
        <v>96.15</v>
      </c>
      <c r="AM7" s="4">
        <v>52.0</v>
      </c>
      <c r="AN7" s="4">
        <v>6.93</v>
      </c>
      <c r="AO7" s="4">
        <v>5.86</v>
      </c>
      <c r="AP7" s="41"/>
      <c r="AQ7" s="37">
        <v>86.89</v>
      </c>
      <c r="AR7" s="37">
        <v>61.0</v>
      </c>
      <c r="AS7" s="37">
        <v>7.2</v>
      </c>
      <c r="AT7" s="37">
        <v>6.03</v>
      </c>
      <c r="AU7" s="45">
        <v>94.34</v>
      </c>
      <c r="AV7" s="37">
        <v>90.38</v>
      </c>
      <c r="AW7" s="37">
        <v>52.0</v>
      </c>
      <c r="AX7" s="37">
        <v>7.22</v>
      </c>
      <c r="AY7" s="37">
        <v>6.24</v>
      </c>
      <c r="AZ7" s="45">
        <v>84.48</v>
      </c>
      <c r="BA7" s="37">
        <v>87.27</v>
      </c>
      <c r="BB7" s="37">
        <v>55.0</v>
      </c>
      <c r="BC7" s="37">
        <v>6.79</v>
      </c>
      <c r="BD7" s="37">
        <v>5.6</v>
      </c>
      <c r="BE7" s="41"/>
      <c r="BF7" s="42"/>
      <c r="BG7" s="42"/>
      <c r="BH7" s="42"/>
      <c r="BI7" s="42"/>
    </row>
    <row r="8">
      <c r="A8" s="4" t="s">
        <v>63</v>
      </c>
      <c r="B8" s="34">
        <v>92.31</v>
      </c>
      <c r="C8" s="4">
        <v>100.0</v>
      </c>
      <c r="D8" s="4">
        <v>22.0</v>
      </c>
      <c r="E8" s="4">
        <v>7.32</v>
      </c>
      <c r="F8" s="4">
        <v>7.1</v>
      </c>
      <c r="G8" s="34">
        <v>84.85</v>
      </c>
      <c r="H8" s="4">
        <v>100.0</v>
      </c>
      <c r="I8" s="4">
        <v>20.0</v>
      </c>
      <c r="J8" s="4">
        <v>6.26</v>
      </c>
      <c r="K8" s="4">
        <v>6.26</v>
      </c>
      <c r="L8" s="34">
        <v>90.7</v>
      </c>
      <c r="M8" s="4">
        <v>100.0</v>
      </c>
      <c r="N8" s="4">
        <v>26.0</v>
      </c>
      <c r="O8" s="4">
        <v>6.54</v>
      </c>
      <c r="P8" s="4">
        <v>6.54</v>
      </c>
      <c r="Q8" s="34">
        <v>92.11</v>
      </c>
      <c r="R8" s="4">
        <v>100.0</v>
      </c>
      <c r="S8" s="4">
        <v>26.0</v>
      </c>
      <c r="T8" s="4">
        <v>6.61</v>
      </c>
      <c r="U8" s="4">
        <v>6.61</v>
      </c>
      <c r="V8" s="34">
        <v>94.74</v>
      </c>
      <c r="W8" s="4">
        <v>100.0</v>
      </c>
      <c r="X8" s="4">
        <v>26.0</v>
      </c>
      <c r="Y8" s="4">
        <v>6.95</v>
      </c>
      <c r="Z8" s="4">
        <v>6.79</v>
      </c>
      <c r="AA8" s="44"/>
      <c r="AB8" s="4">
        <v>92.31</v>
      </c>
      <c r="AC8" s="4">
        <v>26.0</v>
      </c>
      <c r="AD8" s="4">
        <v>6.9</v>
      </c>
      <c r="AE8" s="4">
        <v>6.17</v>
      </c>
      <c r="AF8" s="44"/>
      <c r="AG8" s="4">
        <v>92.86</v>
      </c>
      <c r="AH8" s="4">
        <v>42.0</v>
      </c>
      <c r="AI8" s="4">
        <v>6.61</v>
      </c>
      <c r="AJ8" s="4">
        <v>6.12</v>
      </c>
      <c r="AK8" s="44"/>
      <c r="AL8" s="4">
        <v>96.55</v>
      </c>
      <c r="AM8" s="4">
        <v>29.0</v>
      </c>
      <c r="AN8" s="4">
        <v>7.27</v>
      </c>
      <c r="AO8" s="35">
        <v>6.67</v>
      </c>
      <c r="AP8" s="41"/>
      <c r="AQ8" s="37">
        <v>88.89</v>
      </c>
      <c r="AR8" s="37">
        <v>27.0</v>
      </c>
      <c r="AS8" s="37">
        <v>7.58</v>
      </c>
      <c r="AT8" s="39">
        <v>6.54</v>
      </c>
      <c r="AU8" s="41"/>
      <c r="AV8" s="37">
        <v>96.15</v>
      </c>
      <c r="AW8" s="37">
        <v>26.0</v>
      </c>
      <c r="AX8" s="37">
        <v>7.39</v>
      </c>
      <c r="AY8" s="37">
        <v>6.59</v>
      </c>
      <c r="AZ8" s="45">
        <v>68.57</v>
      </c>
      <c r="BA8" s="37">
        <v>97.22</v>
      </c>
      <c r="BB8" s="37">
        <v>36.0</v>
      </c>
      <c r="BC8" s="37">
        <v>7.11</v>
      </c>
      <c r="BD8" s="39">
        <v>6.52</v>
      </c>
      <c r="BE8" s="41"/>
      <c r="BF8" s="42"/>
      <c r="BG8" s="42"/>
      <c r="BH8" s="42"/>
      <c r="BI8" s="43"/>
    </row>
    <row r="9">
      <c r="A9" s="4" t="s">
        <v>64</v>
      </c>
      <c r="B9" s="34">
        <v>58.2</v>
      </c>
      <c r="C9" s="4">
        <v>92.31</v>
      </c>
      <c r="D9" s="4">
        <v>52.0</v>
      </c>
      <c r="E9" s="4">
        <v>6.83</v>
      </c>
      <c r="F9" s="4">
        <v>5.84</v>
      </c>
      <c r="G9" s="34">
        <v>66.67</v>
      </c>
      <c r="H9" s="4">
        <v>89.09</v>
      </c>
      <c r="I9" s="4">
        <v>55.0</v>
      </c>
      <c r="J9" s="4">
        <v>5.73</v>
      </c>
      <c r="K9" s="4">
        <v>5.49</v>
      </c>
      <c r="L9" s="34">
        <v>61.68</v>
      </c>
      <c r="M9" s="4">
        <v>92.86</v>
      </c>
      <c r="N9" s="4">
        <v>42.0</v>
      </c>
      <c r="O9" s="4">
        <v>6.12</v>
      </c>
      <c r="P9" s="4">
        <v>5.95</v>
      </c>
      <c r="Q9" s="34">
        <v>70.0</v>
      </c>
      <c r="R9" s="4">
        <v>89.58</v>
      </c>
      <c r="S9" s="4">
        <v>48.0</v>
      </c>
      <c r="T9" s="4">
        <v>5.87</v>
      </c>
      <c r="U9" s="4">
        <v>5.66</v>
      </c>
      <c r="V9" s="34">
        <v>66.67</v>
      </c>
      <c r="W9" s="4">
        <v>90.74</v>
      </c>
      <c r="X9" s="4">
        <v>54.0</v>
      </c>
      <c r="Y9" s="4">
        <v>6.81</v>
      </c>
      <c r="Z9" s="4">
        <v>6.05</v>
      </c>
      <c r="AA9" s="34">
        <v>77.59</v>
      </c>
      <c r="AB9" s="4">
        <v>86.08</v>
      </c>
      <c r="AC9" s="4">
        <v>79.0</v>
      </c>
      <c r="AD9" s="4">
        <v>6.98</v>
      </c>
      <c r="AE9" s="4">
        <v>5.8</v>
      </c>
      <c r="AF9" s="34">
        <v>91.67</v>
      </c>
      <c r="AG9" s="4">
        <v>78.69</v>
      </c>
      <c r="AH9" s="4">
        <v>61.0</v>
      </c>
      <c r="AI9" s="4">
        <v>7.18</v>
      </c>
      <c r="AJ9" s="4">
        <v>5.7</v>
      </c>
      <c r="AK9" s="34">
        <v>76.4</v>
      </c>
      <c r="AL9" s="4">
        <v>86.57</v>
      </c>
      <c r="AM9" s="4">
        <v>67.0</v>
      </c>
      <c r="AN9" s="4">
        <v>7.06</v>
      </c>
      <c r="AO9" s="35">
        <v>5.93</v>
      </c>
      <c r="AP9" s="36">
        <v>75.76</v>
      </c>
      <c r="AQ9" s="37">
        <v>85.71</v>
      </c>
      <c r="AR9" s="37">
        <v>42.0</v>
      </c>
      <c r="AS9" s="37">
        <v>6.96</v>
      </c>
      <c r="AT9" s="39">
        <v>5.74</v>
      </c>
      <c r="AU9" s="36">
        <v>84.29</v>
      </c>
      <c r="AV9" s="37">
        <v>90.74</v>
      </c>
      <c r="AW9" s="37">
        <v>54.0</v>
      </c>
      <c r="AX9" s="37">
        <v>7.34</v>
      </c>
      <c r="AY9" s="37">
        <v>6.25</v>
      </c>
      <c r="AZ9" s="36">
        <v>81.58</v>
      </c>
      <c r="BA9" s="37">
        <v>90.0</v>
      </c>
      <c r="BB9" s="37">
        <v>60.0</v>
      </c>
      <c r="BC9" s="37">
        <v>7.03</v>
      </c>
      <c r="BD9" s="39">
        <v>5.83</v>
      </c>
      <c r="BE9" s="41"/>
      <c r="BF9" s="42"/>
      <c r="BG9" s="42"/>
      <c r="BH9" s="42"/>
      <c r="BI9" s="43"/>
    </row>
    <row r="10">
      <c r="A10" s="4" t="s">
        <v>65</v>
      </c>
      <c r="B10" s="34">
        <v>81.25</v>
      </c>
      <c r="C10" s="4">
        <v>100.0</v>
      </c>
      <c r="D10" s="4">
        <v>13.0</v>
      </c>
      <c r="E10" s="4">
        <v>7.77</v>
      </c>
      <c r="F10" s="4">
        <v>7.81</v>
      </c>
      <c r="G10" s="34">
        <v>95.0</v>
      </c>
      <c r="H10" s="4">
        <v>100.0</v>
      </c>
      <c r="I10" s="4">
        <v>16.0</v>
      </c>
      <c r="J10" s="4">
        <v>7.98</v>
      </c>
      <c r="K10" s="4">
        <v>7.98</v>
      </c>
      <c r="L10" s="34">
        <v>96.0</v>
      </c>
      <c r="M10" s="4">
        <v>95.83</v>
      </c>
      <c r="N10" s="4">
        <v>24.0</v>
      </c>
      <c r="O10" s="4">
        <v>7.98</v>
      </c>
      <c r="P10" s="4">
        <v>7.84</v>
      </c>
      <c r="Q10" s="34">
        <v>100.0</v>
      </c>
      <c r="R10" s="4">
        <v>100.0</v>
      </c>
      <c r="S10" s="4">
        <v>24.0</v>
      </c>
      <c r="T10" s="4">
        <v>8.31</v>
      </c>
      <c r="U10" s="4">
        <v>8.31</v>
      </c>
      <c r="V10" s="34">
        <v>100.0</v>
      </c>
      <c r="W10" s="4">
        <v>100.0</v>
      </c>
      <c r="X10" s="4">
        <v>15.0</v>
      </c>
      <c r="Y10" s="4">
        <v>8.18</v>
      </c>
      <c r="Z10" s="4">
        <v>8.1</v>
      </c>
      <c r="AA10" s="44"/>
      <c r="AC10" s="4">
        <v>23.0</v>
      </c>
      <c r="AD10" s="4">
        <v>7.62</v>
      </c>
      <c r="AE10" s="4">
        <v>7.3</v>
      </c>
      <c r="AF10" s="44"/>
      <c r="AH10" s="4">
        <v>20.0</v>
      </c>
      <c r="AI10" s="4">
        <v>7.95</v>
      </c>
      <c r="AJ10" s="4">
        <v>7.96</v>
      </c>
      <c r="AK10" s="44"/>
      <c r="AM10" s="4">
        <v>31.0</v>
      </c>
      <c r="AN10" s="4">
        <v>8.48</v>
      </c>
      <c r="AO10" s="35">
        <v>8.12</v>
      </c>
      <c r="AP10" s="41"/>
      <c r="AQ10" s="38"/>
      <c r="AR10" s="37">
        <v>24.0</v>
      </c>
      <c r="AS10" s="37">
        <v>7.87</v>
      </c>
      <c r="AT10" s="39">
        <v>7.81</v>
      </c>
      <c r="AU10" s="41"/>
      <c r="AV10" s="38"/>
      <c r="AW10" s="37">
        <v>25.0</v>
      </c>
      <c r="AX10" s="37">
        <v>8.19</v>
      </c>
      <c r="AY10" s="37">
        <v>8.21</v>
      </c>
      <c r="AZ10" s="41"/>
      <c r="BA10" s="38"/>
      <c r="BB10" s="37">
        <v>36.0</v>
      </c>
      <c r="BC10" s="37">
        <v>7.73</v>
      </c>
      <c r="BD10" s="39">
        <v>7.61</v>
      </c>
      <c r="BE10" s="41"/>
      <c r="BF10" s="38"/>
      <c r="BG10" s="42"/>
      <c r="BH10" s="42"/>
      <c r="BI10" s="43"/>
    </row>
    <row r="11">
      <c r="A11" s="4" t="s">
        <v>66</v>
      </c>
      <c r="B11" s="46"/>
      <c r="C11" s="47"/>
      <c r="D11" s="47"/>
      <c r="E11" s="47"/>
      <c r="F11" s="47"/>
      <c r="G11" s="46"/>
      <c r="H11" s="47"/>
      <c r="I11" s="47"/>
      <c r="J11" s="47"/>
      <c r="K11" s="47"/>
      <c r="L11" s="34">
        <v>100.0</v>
      </c>
      <c r="M11" s="4">
        <v>100.0</v>
      </c>
      <c r="N11" s="4">
        <v>6.0</v>
      </c>
      <c r="O11" s="4">
        <v>5.92</v>
      </c>
      <c r="P11" s="4">
        <v>5.92</v>
      </c>
      <c r="Q11" s="34">
        <v>100.0</v>
      </c>
      <c r="R11" s="4">
        <v>100.0</v>
      </c>
      <c r="S11" s="4">
        <v>6.0</v>
      </c>
      <c r="T11" s="4">
        <v>6.01</v>
      </c>
      <c r="U11" s="4">
        <v>6.01</v>
      </c>
      <c r="V11" s="34">
        <v>91.67</v>
      </c>
      <c r="W11" s="4">
        <v>71.43</v>
      </c>
      <c r="X11" s="4">
        <v>7.0</v>
      </c>
      <c r="Y11" s="4">
        <v>6.75</v>
      </c>
      <c r="Z11" s="4">
        <v>6.2</v>
      </c>
      <c r="AA11" s="44"/>
      <c r="AB11" s="4">
        <v>76.92</v>
      </c>
      <c r="AC11" s="4">
        <v>13.0</v>
      </c>
      <c r="AD11" s="4">
        <v>6.98</v>
      </c>
      <c r="AE11" s="4">
        <v>5.45</v>
      </c>
      <c r="AF11" s="44"/>
      <c r="AG11" s="4">
        <v>94.12</v>
      </c>
      <c r="AH11" s="4">
        <v>17.0</v>
      </c>
      <c r="AI11" s="4">
        <v>6.81</v>
      </c>
      <c r="AJ11" s="4">
        <v>5.72</v>
      </c>
      <c r="AK11" s="44"/>
      <c r="AL11" s="4">
        <v>94.12</v>
      </c>
      <c r="AM11" s="4">
        <v>17.0</v>
      </c>
      <c r="AN11" s="4">
        <v>7.42</v>
      </c>
      <c r="AO11" s="35">
        <v>6.38</v>
      </c>
      <c r="AP11" s="41"/>
      <c r="AQ11" s="37">
        <v>85.0</v>
      </c>
      <c r="AR11" s="37">
        <v>20.0</v>
      </c>
      <c r="AS11" s="37">
        <v>7.64</v>
      </c>
      <c r="AT11" s="39">
        <v>6.41</v>
      </c>
      <c r="AU11" s="41"/>
      <c r="AV11" s="37">
        <v>84.62</v>
      </c>
      <c r="AW11" s="37">
        <v>13.0</v>
      </c>
      <c r="AX11" s="37">
        <v>7.77</v>
      </c>
      <c r="AY11" s="37">
        <v>6.77</v>
      </c>
      <c r="AZ11" s="45">
        <v>95.45</v>
      </c>
      <c r="BA11" s="37">
        <v>86.96</v>
      </c>
      <c r="BB11" s="37">
        <v>23.0</v>
      </c>
      <c r="BC11" s="37">
        <v>7.34</v>
      </c>
      <c r="BD11" s="39">
        <v>5.81</v>
      </c>
      <c r="BE11" s="41"/>
      <c r="BF11" s="42"/>
      <c r="BG11" s="42"/>
      <c r="BH11" s="42"/>
      <c r="BI11" s="43"/>
    </row>
    <row r="12">
      <c r="A12" s="4" t="s">
        <v>67</v>
      </c>
      <c r="B12" s="48"/>
      <c r="C12" s="49"/>
      <c r="D12" s="49"/>
      <c r="E12" s="49"/>
      <c r="F12" s="49"/>
      <c r="G12" s="48"/>
      <c r="H12" s="49"/>
      <c r="I12" s="49"/>
      <c r="J12" s="49"/>
      <c r="K12" s="49"/>
      <c r="L12" s="48"/>
      <c r="M12" s="49"/>
      <c r="N12" s="49"/>
      <c r="O12" s="49"/>
      <c r="P12" s="49"/>
      <c r="Q12" s="48"/>
      <c r="R12" s="49"/>
      <c r="S12" s="49"/>
      <c r="T12" s="49"/>
      <c r="U12" s="49"/>
      <c r="V12" s="48"/>
      <c r="W12" s="49"/>
      <c r="X12" s="49"/>
      <c r="Y12" s="49"/>
      <c r="Z12" s="49"/>
      <c r="AA12" s="48"/>
      <c r="AB12" s="49"/>
      <c r="AC12" s="49"/>
      <c r="AD12" s="49"/>
      <c r="AE12" s="49"/>
      <c r="AF12" s="48"/>
      <c r="AG12" s="49"/>
      <c r="AH12" s="49"/>
      <c r="AI12" s="49"/>
      <c r="AJ12" s="49"/>
      <c r="AK12" s="50">
        <v>70.0</v>
      </c>
      <c r="AL12" s="51">
        <v>92.59</v>
      </c>
      <c r="AM12" s="51">
        <v>27.0</v>
      </c>
      <c r="AN12" s="51">
        <v>7.26</v>
      </c>
      <c r="AO12" s="52">
        <v>6.25</v>
      </c>
      <c r="AP12" s="53">
        <v>82.46</v>
      </c>
      <c r="AQ12" s="54">
        <v>93.55</v>
      </c>
      <c r="AR12" s="54">
        <v>31.0</v>
      </c>
      <c r="AS12" s="54">
        <v>7.17</v>
      </c>
      <c r="AT12" s="55">
        <v>6.22</v>
      </c>
      <c r="AU12" s="56">
        <v>70.18</v>
      </c>
      <c r="AV12" s="57">
        <v>97.06</v>
      </c>
      <c r="AW12" s="57">
        <v>34.0</v>
      </c>
      <c r="AX12" s="57">
        <v>7.24</v>
      </c>
      <c r="AY12" s="57">
        <v>6.49</v>
      </c>
      <c r="AZ12" s="53">
        <v>88.89</v>
      </c>
      <c r="BA12" s="54">
        <v>95.0</v>
      </c>
      <c r="BB12" s="54">
        <v>40.0</v>
      </c>
      <c r="BC12" s="54">
        <v>7.27</v>
      </c>
      <c r="BD12" s="55">
        <v>6.68</v>
      </c>
      <c r="BE12" s="58"/>
      <c r="BF12" s="59"/>
      <c r="BG12" s="59"/>
      <c r="BH12" s="59"/>
      <c r="BI12" s="60"/>
    </row>
  </sheetData>
  <mergeCells count="12">
    <mergeCell ref="AK3:AO3"/>
    <mergeCell ref="AP3:AT3"/>
    <mergeCell ref="AU3:AY3"/>
    <mergeCell ref="AZ3:BD3"/>
    <mergeCell ref="BE3:BI3"/>
    <mergeCell ref="B3:F3"/>
    <mergeCell ref="G3:K3"/>
    <mergeCell ref="L3:P3"/>
    <mergeCell ref="Q3:U3"/>
    <mergeCell ref="V3:Z3"/>
    <mergeCell ref="AA3:AE3"/>
    <mergeCell ref="AF3:AJ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38"/>
    <col customWidth="1" min="4" max="4" width="8.25"/>
    <col customWidth="1" min="5" max="5" width="7.38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/>
    </row>
    <row r="2">
      <c r="A2" s="4" t="s">
        <v>10</v>
      </c>
      <c r="B2" s="61" t="str">
        <f>'Por año'!B19</f>
        <v>Titulan</v>
      </c>
      <c r="C2" s="20">
        <f>'Por año'!C19</f>
        <v>52</v>
      </c>
      <c r="D2" s="61" t="str">
        <f t="shared" ref="D2:D10" si="1">CONCATENATE(A2,"(",C2,")")</f>
        <v>24-25(52)</v>
      </c>
      <c r="E2" s="21">
        <f>'Por año'!E19</f>
        <v>0.7115</v>
      </c>
    </row>
    <row r="3">
      <c r="A3" s="4" t="s">
        <v>28</v>
      </c>
      <c r="B3" s="61" t="str">
        <f>'Por año'!B38</f>
        <v>Titulan</v>
      </c>
      <c r="C3" s="20">
        <f>'Por año'!C38</f>
        <v>60</v>
      </c>
      <c r="D3" s="61" t="str">
        <f t="shared" si="1"/>
        <v>23-24(60)</v>
      </c>
      <c r="E3" s="21">
        <f>'Por año'!E38</f>
        <v>0.7667</v>
      </c>
    </row>
    <row r="4">
      <c r="A4" s="4" t="s">
        <v>31</v>
      </c>
      <c r="B4" s="61" t="str">
        <f>'Por año'!B57</f>
        <v>Titulan</v>
      </c>
      <c r="C4" s="20">
        <f>'Por año'!C57</f>
        <v>54</v>
      </c>
      <c r="D4" s="61" t="str">
        <f t="shared" si="1"/>
        <v>22-23(54)</v>
      </c>
      <c r="E4" s="21">
        <f>'Por año'!E57</f>
        <v>0.7963</v>
      </c>
    </row>
    <row r="5">
      <c r="A5" s="61" t="str">
        <f>'Por año'!A75</f>
        <v>21-22</v>
      </c>
      <c r="B5" s="61" t="str">
        <f>'Por año'!B76</f>
        <v>Titulan</v>
      </c>
      <c r="C5" s="20">
        <f>'Por año'!C76</f>
        <v>59</v>
      </c>
      <c r="D5" s="61" t="str">
        <f t="shared" si="1"/>
        <v>21-22(59)</v>
      </c>
      <c r="E5" s="21">
        <f>'Por año'!E76</f>
        <v>0.8136</v>
      </c>
    </row>
    <row r="6">
      <c r="A6" s="61" t="str">
        <f>'Por año'!A94</f>
        <v>20-21</v>
      </c>
      <c r="B6" s="61" t="str">
        <f>'Por año'!B95</f>
        <v>Titulan</v>
      </c>
      <c r="C6" s="20">
        <f>'Por año'!C95</f>
        <v>54</v>
      </c>
      <c r="D6" s="61" t="str">
        <f t="shared" si="1"/>
        <v>20-21(54)</v>
      </c>
      <c r="E6" s="21">
        <f>'Por año'!E95</f>
        <v>0.907</v>
      </c>
    </row>
    <row r="7">
      <c r="A7" s="61" t="str">
        <f>'Por año'!A113</f>
        <v>19-20</v>
      </c>
      <c r="B7" s="61" t="str">
        <f>'Por año'!B114</f>
        <v>Titulan</v>
      </c>
      <c r="C7" s="20">
        <f>'Por año'!C114</f>
        <v>50</v>
      </c>
      <c r="D7" s="61" t="str">
        <f t="shared" si="1"/>
        <v>19-20(50)</v>
      </c>
      <c r="E7" s="21">
        <f>'Por año'!E114</f>
        <v>1</v>
      </c>
    </row>
    <row r="8">
      <c r="A8" s="61" t="str">
        <f>'Por año'!A132</f>
        <v>18-19</v>
      </c>
      <c r="B8" s="61" t="str">
        <f>'Por año'!B133</f>
        <v>Titulan</v>
      </c>
      <c r="C8" s="20">
        <f>'Por año'!C133</f>
        <v>54</v>
      </c>
      <c r="D8" s="61" t="str">
        <f t="shared" si="1"/>
        <v>18-19(54)</v>
      </c>
      <c r="E8" s="21">
        <f>'Por año'!E133</f>
        <v>0.6667</v>
      </c>
    </row>
    <row r="9">
      <c r="A9" s="61" t="str">
        <f>'Por año'!A151</f>
        <v>17-18</v>
      </c>
      <c r="B9" s="61" t="str">
        <f>'Por año'!B152</f>
        <v>Titulan</v>
      </c>
      <c r="C9" s="20">
        <f>'Por año'!C152</f>
        <v>44</v>
      </c>
      <c r="D9" s="61" t="str">
        <f t="shared" si="1"/>
        <v>17-18(44)</v>
      </c>
      <c r="E9" s="21">
        <f>'Por año'!E152</f>
        <v>0.7045</v>
      </c>
    </row>
    <row r="10">
      <c r="A10" s="61" t="str">
        <f>'Por año'!A170</f>
        <v>16-17</v>
      </c>
      <c r="B10" s="61" t="str">
        <f>'Por año'!B171</f>
        <v>Titulan</v>
      </c>
      <c r="C10" s="20">
        <f>'Por año'!C171</f>
        <v>45</v>
      </c>
      <c r="D10" s="61" t="str">
        <f t="shared" si="1"/>
        <v>16-17(45)</v>
      </c>
      <c r="E10" s="21">
        <f>'Por año'!E171</f>
        <v>0.7778</v>
      </c>
    </row>
    <row r="11">
      <c r="C11" s="20"/>
    </row>
    <row r="12">
      <c r="C12" s="20"/>
    </row>
    <row r="13">
      <c r="C13" s="20"/>
    </row>
    <row r="14">
      <c r="C14" s="20"/>
    </row>
    <row r="15">
      <c r="C15" s="20"/>
    </row>
    <row r="16">
      <c r="C16" s="20"/>
    </row>
    <row r="17">
      <c r="A17" s="61" t="str">
        <f>'Por año'!A175</f>
        <v/>
      </c>
      <c r="B17" s="61" t="str">
        <f>'Por año'!B175</f>
        <v/>
      </c>
      <c r="C17" s="20" t="str">
        <f>'Por año'!C175</f>
        <v/>
      </c>
      <c r="E17" s="61" t="str">
        <f>'Por año'!F175</f>
        <v/>
      </c>
    </row>
    <row r="18">
      <c r="A18" s="61" t="str">
        <f>'Por año'!A176</f>
        <v/>
      </c>
      <c r="B18" s="61" t="str">
        <f>'Por año'!B176</f>
        <v/>
      </c>
      <c r="C18" s="20" t="str">
        <f>'Por año'!C176</f>
        <v/>
      </c>
      <c r="E18" s="61" t="str">
        <f>'Por año'!F176</f>
        <v/>
      </c>
    </row>
    <row r="19">
      <c r="A19" s="61" t="str">
        <f>'Por año'!A177</f>
        <v/>
      </c>
      <c r="B19" s="61" t="str">
        <f>'Por año'!B177</f>
        <v/>
      </c>
      <c r="C19" s="20" t="str">
        <f>'Por año'!C177</f>
        <v/>
      </c>
      <c r="E19" s="61" t="str">
        <f>'Por año'!F177</f>
        <v/>
      </c>
    </row>
    <row r="20">
      <c r="A20" s="61" t="str">
        <f>'Por año'!A178</f>
        <v/>
      </c>
      <c r="B20" s="61" t="str">
        <f>'Por año'!B178</f>
        <v/>
      </c>
      <c r="C20" s="20" t="str">
        <f>'Por año'!C178</f>
        <v/>
      </c>
      <c r="E20" s="61" t="str">
        <f>'Por año'!F178</f>
        <v/>
      </c>
    </row>
    <row r="21">
      <c r="A21" s="61" t="str">
        <f>'Por año'!A179</f>
        <v/>
      </c>
      <c r="B21" s="61" t="str">
        <f>'Por año'!B179</f>
        <v/>
      </c>
      <c r="C21" s="20" t="str">
        <f>'Por año'!C179</f>
        <v/>
      </c>
      <c r="E21" s="61" t="str">
        <f>'Por año'!F179</f>
        <v/>
      </c>
    </row>
    <row r="22">
      <c r="A22" s="61" t="str">
        <f>'Por año'!A180</f>
        <v/>
      </c>
      <c r="B22" s="61" t="str">
        <f>'Por año'!B180</f>
        <v/>
      </c>
      <c r="C22" s="20" t="str">
        <f>'Por año'!C180</f>
        <v/>
      </c>
      <c r="E22" s="61" t="str">
        <f>'Por año'!F180</f>
        <v/>
      </c>
    </row>
    <row r="23">
      <c r="A23" s="61" t="str">
        <f>'Por año'!A181</f>
        <v/>
      </c>
      <c r="B23" s="61" t="str">
        <f>'Por año'!B181</f>
        <v/>
      </c>
      <c r="C23" s="20" t="str">
        <f>'Por año'!C181</f>
        <v/>
      </c>
      <c r="E23" s="61" t="str">
        <f>'Por año'!F181</f>
        <v/>
      </c>
    </row>
    <row r="24">
      <c r="A24" s="61" t="str">
        <f>'Por año'!A182</f>
        <v/>
      </c>
      <c r="B24" s="61" t="str">
        <f>'Por año'!B182</f>
        <v/>
      </c>
      <c r="C24" s="20" t="str">
        <f>'Por año'!C182</f>
        <v/>
      </c>
      <c r="E24" s="61" t="str">
        <f>'Por año'!F182</f>
        <v/>
      </c>
    </row>
    <row r="25">
      <c r="A25" s="61" t="str">
        <f>'Por año'!A183</f>
        <v/>
      </c>
      <c r="B25" s="61" t="str">
        <f>'Por año'!B183</f>
        <v/>
      </c>
      <c r="C25" s="20" t="str">
        <f>'Por año'!C183</f>
        <v/>
      </c>
      <c r="E25" s="61" t="str">
        <f>'Por año'!F183</f>
        <v/>
      </c>
    </row>
    <row r="26">
      <c r="A26" s="61" t="str">
        <f>'Por año'!A184</f>
        <v/>
      </c>
      <c r="B26" s="61" t="str">
        <f>'Por año'!B184</f>
        <v/>
      </c>
      <c r="C26" s="20" t="str">
        <f>'Por año'!C184</f>
        <v/>
      </c>
      <c r="E26" s="61" t="str">
        <f>'Por año'!F184</f>
        <v/>
      </c>
    </row>
    <row r="27">
      <c r="A27" s="61" t="str">
        <f>'Por año'!A185</f>
        <v/>
      </c>
      <c r="B27" s="61" t="str">
        <f>'Por año'!B185</f>
        <v/>
      </c>
      <c r="C27" s="20" t="str">
        <f>'Por año'!C185</f>
        <v/>
      </c>
      <c r="E27" s="61" t="str">
        <f>'Por año'!F185</f>
        <v/>
      </c>
    </row>
    <row r="28">
      <c r="A28" s="61" t="str">
        <f>'Por año'!A186</f>
        <v/>
      </c>
      <c r="B28" s="61" t="str">
        <f>'Por año'!B186</f>
        <v/>
      </c>
      <c r="C28" s="20" t="str">
        <f>'Por año'!C186</f>
        <v/>
      </c>
      <c r="E28" s="61" t="str">
        <f>'Por año'!F186</f>
        <v/>
      </c>
    </row>
    <row r="29">
      <c r="A29" s="61" t="str">
        <f>'Por año'!A187</f>
        <v/>
      </c>
      <c r="B29" s="61" t="str">
        <f>'Por año'!B187</f>
        <v/>
      </c>
      <c r="C29" s="20" t="str">
        <f>'Por año'!C187</f>
        <v/>
      </c>
      <c r="E29" s="61" t="str">
        <f>'Por año'!F187</f>
        <v/>
      </c>
    </row>
    <row r="30">
      <c r="A30" s="61" t="str">
        <f>'Por año'!A188</f>
        <v/>
      </c>
      <c r="B30" s="61" t="str">
        <f>'Por año'!B188</f>
        <v/>
      </c>
      <c r="C30" s="20" t="str">
        <f>'Por año'!C188</f>
        <v/>
      </c>
      <c r="E30" s="61" t="str">
        <f>'Por año'!F188</f>
        <v/>
      </c>
    </row>
    <row r="31">
      <c r="A31" s="61" t="str">
        <f>'Por año'!A189</f>
        <v/>
      </c>
      <c r="B31" s="61" t="str">
        <f>'Por año'!B189</f>
        <v/>
      </c>
      <c r="C31" s="20" t="str">
        <f>'Por año'!C189</f>
        <v/>
      </c>
      <c r="E31" s="61" t="str">
        <f>'Por año'!F189</f>
        <v/>
      </c>
    </row>
    <row r="32">
      <c r="A32" s="61" t="str">
        <f>'Por año'!A190</f>
        <v/>
      </c>
      <c r="B32" s="61" t="str">
        <f>'Por año'!B190</f>
        <v/>
      </c>
      <c r="C32" s="20" t="str">
        <f>'Por año'!C190</f>
        <v/>
      </c>
      <c r="E32" s="61" t="str">
        <f>'Por año'!F190</f>
        <v/>
      </c>
    </row>
    <row r="33">
      <c r="A33" s="61" t="str">
        <f>'Por año'!A191</f>
        <v/>
      </c>
      <c r="B33" s="61" t="str">
        <f>'Por año'!B191</f>
        <v/>
      </c>
      <c r="C33" s="20" t="str">
        <f>'Por año'!C191</f>
        <v/>
      </c>
      <c r="E33" s="61" t="str">
        <f>'Por año'!F191</f>
        <v/>
      </c>
    </row>
    <row r="34">
      <c r="C34" s="20"/>
    </row>
    <row r="35">
      <c r="C35" s="20"/>
    </row>
    <row r="36">
      <c r="C36" s="20"/>
    </row>
    <row r="37">
      <c r="C37" s="20"/>
    </row>
    <row r="38">
      <c r="C38" s="20"/>
    </row>
    <row r="39">
      <c r="C39" s="20"/>
    </row>
    <row r="40">
      <c r="C40" s="20"/>
    </row>
    <row r="41">
      <c r="C41" s="20"/>
    </row>
    <row r="42">
      <c r="C42" s="20"/>
    </row>
    <row r="43">
      <c r="C43" s="20"/>
    </row>
    <row r="44">
      <c r="C44" s="20"/>
    </row>
    <row r="45">
      <c r="C45" s="20"/>
    </row>
    <row r="46">
      <c r="C46" s="20"/>
    </row>
    <row r="47">
      <c r="C47" s="20"/>
    </row>
    <row r="48">
      <c r="C48" s="20"/>
    </row>
    <row r="49">
      <c r="C49" s="20"/>
    </row>
    <row r="50">
      <c r="C50" s="20"/>
    </row>
    <row r="51">
      <c r="C51" s="20"/>
    </row>
    <row r="52">
      <c r="C52" s="20"/>
    </row>
    <row r="53">
      <c r="C53" s="20"/>
    </row>
    <row r="54">
      <c r="C54" s="20"/>
    </row>
    <row r="55">
      <c r="C55" s="20"/>
    </row>
    <row r="56">
      <c r="C56" s="20"/>
    </row>
    <row r="57">
      <c r="C57" s="20"/>
    </row>
    <row r="58">
      <c r="C58" s="20"/>
    </row>
    <row r="59">
      <c r="C59" s="20"/>
    </row>
    <row r="60">
      <c r="C60" s="20"/>
    </row>
    <row r="61">
      <c r="C61" s="20"/>
    </row>
    <row r="62">
      <c r="C62" s="20"/>
    </row>
    <row r="63">
      <c r="C63" s="20"/>
    </row>
    <row r="64">
      <c r="C64" s="20"/>
    </row>
    <row r="65">
      <c r="C65" s="20"/>
    </row>
    <row r="66">
      <c r="C66" s="20"/>
    </row>
    <row r="67">
      <c r="C67" s="20"/>
    </row>
    <row r="68">
      <c r="C68" s="20"/>
    </row>
    <row r="69">
      <c r="C69" s="20"/>
    </row>
    <row r="70">
      <c r="C70" s="20"/>
    </row>
    <row r="71">
      <c r="C71" s="20"/>
    </row>
    <row r="72">
      <c r="C72" s="20"/>
    </row>
    <row r="73">
      <c r="C73" s="20"/>
    </row>
    <row r="74">
      <c r="C74" s="20"/>
    </row>
    <row r="75">
      <c r="C75" s="20"/>
    </row>
    <row r="76">
      <c r="C76" s="20"/>
    </row>
    <row r="77">
      <c r="C77" s="20"/>
    </row>
    <row r="78">
      <c r="C78" s="20"/>
    </row>
    <row r="79">
      <c r="C79" s="20"/>
    </row>
    <row r="80">
      <c r="C80" s="20"/>
    </row>
    <row r="81">
      <c r="C81" s="20"/>
    </row>
    <row r="82">
      <c r="C82" s="20"/>
    </row>
    <row r="83">
      <c r="C83" s="20"/>
    </row>
    <row r="84">
      <c r="C84" s="20"/>
    </row>
    <row r="85">
      <c r="C85" s="20"/>
    </row>
    <row r="86">
      <c r="C86" s="20"/>
    </row>
    <row r="87">
      <c r="C87" s="20"/>
    </row>
    <row r="88">
      <c r="C88" s="20"/>
    </row>
    <row r="89">
      <c r="C89" s="20"/>
    </row>
    <row r="90">
      <c r="C90" s="20"/>
    </row>
    <row r="91">
      <c r="C91" s="20"/>
    </row>
    <row r="92">
      <c r="C92" s="20"/>
    </row>
    <row r="93">
      <c r="C93" s="20"/>
    </row>
    <row r="94">
      <c r="C94" s="20"/>
    </row>
    <row r="95">
      <c r="C95" s="20"/>
    </row>
    <row r="96">
      <c r="C96" s="20"/>
    </row>
    <row r="97">
      <c r="C97" s="20"/>
    </row>
    <row r="98">
      <c r="C98" s="20"/>
    </row>
    <row r="99">
      <c r="C99" s="20"/>
    </row>
    <row r="100">
      <c r="C100" s="20"/>
    </row>
    <row r="101">
      <c r="C101" s="20"/>
    </row>
    <row r="102">
      <c r="C102" s="20"/>
    </row>
    <row r="103">
      <c r="C103" s="20"/>
    </row>
    <row r="104">
      <c r="C104" s="20"/>
    </row>
    <row r="105">
      <c r="C105" s="20"/>
    </row>
    <row r="106">
      <c r="C106" s="20"/>
    </row>
    <row r="107">
      <c r="C107" s="20"/>
    </row>
    <row r="108">
      <c r="C108" s="20"/>
    </row>
    <row r="109">
      <c r="C109" s="20"/>
    </row>
    <row r="110">
      <c r="C110" s="20"/>
    </row>
    <row r="111">
      <c r="C111" s="20"/>
    </row>
    <row r="112">
      <c r="C112" s="20"/>
    </row>
    <row r="113">
      <c r="C113" s="20"/>
    </row>
    <row r="114">
      <c r="C114" s="20"/>
    </row>
    <row r="115">
      <c r="C115" s="20"/>
    </row>
    <row r="116">
      <c r="C116" s="20"/>
    </row>
    <row r="117">
      <c r="C117" s="20"/>
    </row>
    <row r="118">
      <c r="C118" s="20"/>
    </row>
    <row r="119">
      <c r="C119" s="20"/>
    </row>
    <row r="120">
      <c r="C120" s="20"/>
    </row>
    <row r="121">
      <c r="C121" s="20"/>
    </row>
    <row r="122">
      <c r="C122" s="20"/>
    </row>
    <row r="123">
      <c r="C123" s="20"/>
    </row>
    <row r="124">
      <c r="C124" s="20"/>
    </row>
    <row r="125">
      <c r="C125" s="20"/>
    </row>
    <row r="126">
      <c r="C126" s="20"/>
    </row>
    <row r="127">
      <c r="C127" s="20"/>
    </row>
    <row r="128">
      <c r="C128" s="20"/>
    </row>
    <row r="129">
      <c r="C129" s="20"/>
    </row>
    <row r="130">
      <c r="C130" s="20"/>
    </row>
    <row r="131">
      <c r="C131" s="20"/>
    </row>
    <row r="132">
      <c r="C132" s="20"/>
    </row>
    <row r="133">
      <c r="C133" s="20"/>
    </row>
    <row r="134">
      <c r="C134" s="20"/>
    </row>
    <row r="135">
      <c r="C135" s="20"/>
    </row>
    <row r="136">
      <c r="C136" s="20"/>
    </row>
    <row r="137">
      <c r="C137" s="20"/>
    </row>
    <row r="138">
      <c r="C138" s="20"/>
    </row>
    <row r="139">
      <c r="C139" s="20"/>
    </row>
    <row r="140">
      <c r="C140" s="20"/>
    </row>
    <row r="141">
      <c r="C141" s="20"/>
    </row>
    <row r="142">
      <c r="C142" s="20"/>
    </row>
    <row r="143">
      <c r="C143" s="20"/>
    </row>
    <row r="144">
      <c r="C144" s="20"/>
    </row>
    <row r="145">
      <c r="C145" s="20"/>
    </row>
    <row r="146">
      <c r="C146" s="20"/>
    </row>
    <row r="147">
      <c r="C147" s="20"/>
    </row>
    <row r="148">
      <c r="C148" s="20"/>
    </row>
    <row r="149">
      <c r="C149" s="20"/>
    </row>
    <row r="150">
      <c r="C150" s="20"/>
    </row>
    <row r="151">
      <c r="C151" s="20"/>
    </row>
    <row r="152">
      <c r="C152" s="20"/>
    </row>
    <row r="153">
      <c r="C153" s="20"/>
    </row>
    <row r="154">
      <c r="C154" s="20"/>
    </row>
    <row r="155">
      <c r="C155" s="20"/>
    </row>
    <row r="156">
      <c r="C156" s="20"/>
    </row>
    <row r="157">
      <c r="C157" s="20"/>
    </row>
    <row r="158">
      <c r="C158" s="20"/>
    </row>
    <row r="159">
      <c r="C159" s="20"/>
    </row>
    <row r="160">
      <c r="C160" s="20"/>
    </row>
    <row r="161">
      <c r="C161" s="20"/>
    </row>
    <row r="162">
      <c r="C162" s="20"/>
    </row>
    <row r="163">
      <c r="C163" s="20"/>
    </row>
    <row r="164">
      <c r="C164" s="20"/>
    </row>
    <row r="165">
      <c r="C165" s="20"/>
    </row>
    <row r="166">
      <c r="C166" s="20"/>
    </row>
    <row r="167">
      <c r="C167" s="20"/>
    </row>
    <row r="168">
      <c r="C168" s="20"/>
    </row>
    <row r="169">
      <c r="C169" s="20"/>
    </row>
    <row r="170">
      <c r="C170" s="20"/>
    </row>
    <row r="171">
      <c r="C171" s="20"/>
    </row>
    <row r="172">
      <c r="C172" s="20"/>
    </row>
    <row r="173">
      <c r="C173" s="20"/>
    </row>
    <row r="174">
      <c r="C174" s="20"/>
    </row>
    <row r="175">
      <c r="C175" s="20"/>
    </row>
    <row r="176">
      <c r="C176" s="20"/>
    </row>
    <row r="177">
      <c r="C177" s="20"/>
    </row>
    <row r="178">
      <c r="C178" s="20"/>
    </row>
    <row r="179">
      <c r="C179" s="20"/>
    </row>
    <row r="180">
      <c r="C180" s="20"/>
    </row>
    <row r="181">
      <c r="C181" s="20"/>
    </row>
    <row r="182">
      <c r="C182" s="20"/>
    </row>
    <row r="183">
      <c r="C183" s="20"/>
    </row>
    <row r="184">
      <c r="C184" s="20"/>
    </row>
    <row r="185">
      <c r="C185" s="20"/>
    </row>
    <row r="186">
      <c r="C186" s="20"/>
    </row>
    <row r="187">
      <c r="C187" s="20"/>
    </row>
    <row r="188">
      <c r="C188" s="20"/>
    </row>
    <row r="189">
      <c r="C189" s="20"/>
    </row>
    <row r="190">
      <c r="C190" s="20"/>
    </row>
    <row r="191">
      <c r="C191" s="20"/>
    </row>
    <row r="192">
      <c r="C192" s="20"/>
    </row>
    <row r="193">
      <c r="C193" s="20"/>
    </row>
    <row r="194">
      <c r="C194" s="20"/>
    </row>
    <row r="195">
      <c r="C195" s="20"/>
    </row>
    <row r="196">
      <c r="C196" s="20"/>
    </row>
    <row r="197">
      <c r="C197" s="20"/>
    </row>
    <row r="198">
      <c r="C198" s="20"/>
    </row>
    <row r="199">
      <c r="C199" s="20"/>
    </row>
    <row r="200">
      <c r="C200" s="20"/>
    </row>
    <row r="201">
      <c r="C201" s="20"/>
    </row>
    <row r="202">
      <c r="C202" s="20"/>
    </row>
    <row r="203">
      <c r="C203" s="20"/>
    </row>
    <row r="204">
      <c r="C204" s="20"/>
    </row>
    <row r="205">
      <c r="C205" s="20"/>
    </row>
    <row r="206">
      <c r="C206" s="20"/>
    </row>
    <row r="207">
      <c r="C207" s="20"/>
    </row>
    <row r="208">
      <c r="C208" s="20"/>
    </row>
    <row r="209">
      <c r="C209" s="20"/>
    </row>
    <row r="210">
      <c r="C210" s="20"/>
    </row>
    <row r="211">
      <c r="C211" s="20"/>
    </row>
    <row r="212">
      <c r="C212" s="20"/>
    </row>
    <row r="213">
      <c r="C213" s="20"/>
    </row>
    <row r="214">
      <c r="C214" s="20"/>
    </row>
    <row r="215">
      <c r="C215" s="20"/>
    </row>
    <row r="216">
      <c r="C216" s="20"/>
    </row>
    <row r="217">
      <c r="C217" s="20"/>
    </row>
    <row r="218">
      <c r="C218" s="20"/>
    </row>
    <row r="219">
      <c r="C219" s="20"/>
    </row>
    <row r="220">
      <c r="C220" s="20"/>
    </row>
    <row r="221">
      <c r="C221" s="20"/>
    </row>
    <row r="222">
      <c r="C222" s="20"/>
    </row>
    <row r="223">
      <c r="C223" s="20"/>
    </row>
    <row r="224">
      <c r="C224" s="20"/>
    </row>
    <row r="225">
      <c r="C225" s="20"/>
    </row>
    <row r="226">
      <c r="C226" s="20"/>
    </row>
    <row r="227">
      <c r="C227" s="20"/>
    </row>
    <row r="228">
      <c r="C228" s="20"/>
    </row>
    <row r="229">
      <c r="C229" s="20"/>
    </row>
    <row r="230">
      <c r="C230" s="20"/>
    </row>
    <row r="231">
      <c r="C231" s="20"/>
    </row>
    <row r="232">
      <c r="C232" s="20"/>
    </row>
    <row r="233">
      <c r="C233" s="20"/>
    </row>
    <row r="234">
      <c r="C234" s="20"/>
    </row>
    <row r="235">
      <c r="C235" s="20"/>
    </row>
    <row r="236">
      <c r="C236" s="20"/>
    </row>
    <row r="237">
      <c r="C237" s="20"/>
    </row>
    <row r="238">
      <c r="C238" s="20"/>
    </row>
    <row r="239">
      <c r="C239" s="20"/>
    </row>
    <row r="240">
      <c r="C240" s="20"/>
    </row>
    <row r="241">
      <c r="C241" s="20"/>
    </row>
    <row r="242">
      <c r="C242" s="20"/>
    </row>
    <row r="243">
      <c r="C243" s="20"/>
    </row>
    <row r="244">
      <c r="C244" s="20"/>
    </row>
    <row r="245">
      <c r="C245" s="20"/>
    </row>
    <row r="246">
      <c r="C246" s="20"/>
    </row>
    <row r="247">
      <c r="C247" s="20"/>
    </row>
    <row r="248">
      <c r="C248" s="20"/>
    </row>
    <row r="249">
      <c r="C249" s="20"/>
    </row>
    <row r="250">
      <c r="C250" s="20"/>
    </row>
    <row r="251">
      <c r="C251" s="20"/>
    </row>
    <row r="252">
      <c r="C252" s="20"/>
    </row>
    <row r="253">
      <c r="C253" s="20"/>
    </row>
    <row r="254">
      <c r="C254" s="20"/>
    </row>
    <row r="255">
      <c r="C255" s="20"/>
    </row>
    <row r="256">
      <c r="C256" s="20"/>
    </row>
    <row r="257">
      <c r="C257" s="20"/>
    </row>
    <row r="258">
      <c r="C258" s="20"/>
    </row>
    <row r="259">
      <c r="C259" s="20"/>
    </row>
    <row r="260">
      <c r="C260" s="20"/>
    </row>
    <row r="261">
      <c r="C261" s="20"/>
    </row>
    <row r="262">
      <c r="C262" s="20"/>
    </row>
    <row r="263">
      <c r="C263" s="20"/>
    </row>
    <row r="264">
      <c r="C264" s="20"/>
    </row>
    <row r="265">
      <c r="C265" s="20"/>
    </row>
    <row r="266">
      <c r="C266" s="20"/>
    </row>
    <row r="267">
      <c r="C267" s="20"/>
    </row>
    <row r="268">
      <c r="C268" s="20"/>
    </row>
    <row r="269">
      <c r="C269" s="20"/>
    </row>
    <row r="270">
      <c r="C270" s="20"/>
    </row>
    <row r="271">
      <c r="C271" s="20"/>
    </row>
    <row r="272">
      <c r="C272" s="20"/>
    </row>
    <row r="273">
      <c r="C273" s="20"/>
    </row>
    <row r="274">
      <c r="C274" s="20"/>
    </row>
    <row r="275">
      <c r="C275" s="20"/>
    </row>
    <row r="276">
      <c r="C276" s="20"/>
    </row>
    <row r="277">
      <c r="C277" s="20"/>
    </row>
    <row r="278">
      <c r="C278" s="20"/>
    </row>
    <row r="279">
      <c r="C279" s="20"/>
    </row>
    <row r="280">
      <c r="C280" s="20"/>
    </row>
    <row r="281">
      <c r="C281" s="20"/>
    </row>
    <row r="282">
      <c r="C282" s="20"/>
    </row>
    <row r="283">
      <c r="C283" s="20"/>
    </row>
    <row r="284">
      <c r="C284" s="20"/>
    </row>
    <row r="285">
      <c r="C285" s="20"/>
    </row>
    <row r="286">
      <c r="C286" s="20"/>
    </row>
    <row r="287">
      <c r="C287" s="20"/>
    </row>
    <row r="288">
      <c r="C288" s="20"/>
    </row>
    <row r="289">
      <c r="C289" s="20"/>
    </row>
    <row r="290">
      <c r="C290" s="20"/>
    </row>
    <row r="291">
      <c r="C291" s="20"/>
    </row>
    <row r="292">
      <c r="C292" s="20"/>
    </row>
    <row r="293">
      <c r="C293" s="20"/>
    </row>
    <row r="294">
      <c r="C294" s="20"/>
    </row>
    <row r="295">
      <c r="C295" s="20"/>
    </row>
    <row r="296">
      <c r="C296" s="20"/>
    </row>
    <row r="297">
      <c r="C297" s="20"/>
    </row>
    <row r="298">
      <c r="C298" s="20"/>
    </row>
    <row r="299">
      <c r="C299" s="20"/>
    </row>
    <row r="300">
      <c r="C300" s="20"/>
    </row>
    <row r="301">
      <c r="C301" s="20"/>
    </row>
    <row r="302">
      <c r="C302" s="20"/>
    </row>
    <row r="303">
      <c r="C303" s="20"/>
    </row>
    <row r="304">
      <c r="C304" s="20"/>
    </row>
    <row r="305">
      <c r="C305" s="20"/>
    </row>
    <row r="306">
      <c r="C306" s="20"/>
    </row>
    <row r="307">
      <c r="C307" s="20"/>
    </row>
    <row r="308">
      <c r="C308" s="20"/>
    </row>
    <row r="309">
      <c r="C309" s="20"/>
    </row>
    <row r="310">
      <c r="C310" s="20"/>
    </row>
    <row r="311">
      <c r="C311" s="20"/>
    </row>
    <row r="312">
      <c r="C312" s="20"/>
    </row>
    <row r="313">
      <c r="C313" s="20"/>
    </row>
    <row r="314">
      <c r="C314" s="20"/>
    </row>
    <row r="315">
      <c r="C315" s="20"/>
    </row>
    <row r="316">
      <c r="C316" s="20"/>
    </row>
    <row r="317">
      <c r="C317" s="20"/>
    </row>
    <row r="318">
      <c r="C318" s="20"/>
    </row>
    <row r="319">
      <c r="C319" s="20"/>
    </row>
    <row r="320">
      <c r="C320" s="20"/>
    </row>
    <row r="321">
      <c r="C321" s="20"/>
    </row>
    <row r="322">
      <c r="C322" s="20"/>
    </row>
    <row r="323">
      <c r="C323" s="20"/>
    </row>
    <row r="324">
      <c r="C324" s="20"/>
    </row>
    <row r="325">
      <c r="C325" s="20"/>
    </row>
    <row r="326">
      <c r="C326" s="20"/>
    </row>
    <row r="327">
      <c r="C327" s="20"/>
    </row>
    <row r="328">
      <c r="C328" s="20"/>
    </row>
    <row r="329">
      <c r="C329" s="20"/>
    </row>
    <row r="330">
      <c r="C330" s="20"/>
    </row>
    <row r="331">
      <c r="C331" s="20"/>
    </row>
    <row r="332">
      <c r="C332" s="20"/>
    </row>
    <row r="333">
      <c r="C333" s="20"/>
    </row>
    <row r="334">
      <c r="C334" s="20"/>
    </row>
    <row r="335">
      <c r="C335" s="20"/>
    </row>
    <row r="336">
      <c r="C336" s="20"/>
    </row>
    <row r="337">
      <c r="C337" s="20"/>
    </row>
    <row r="338">
      <c r="C338" s="20"/>
    </row>
    <row r="339">
      <c r="C339" s="20"/>
    </row>
    <row r="340">
      <c r="C340" s="20"/>
    </row>
    <row r="341">
      <c r="C341" s="20"/>
    </row>
    <row r="342">
      <c r="C342" s="20"/>
    </row>
    <row r="343">
      <c r="C343" s="20"/>
    </row>
    <row r="344">
      <c r="C344" s="20"/>
    </row>
    <row r="345">
      <c r="C345" s="20"/>
    </row>
    <row r="346">
      <c r="C346" s="20"/>
    </row>
    <row r="347">
      <c r="C347" s="20"/>
    </row>
    <row r="348">
      <c r="C348" s="20"/>
    </row>
    <row r="349">
      <c r="C349" s="20"/>
    </row>
    <row r="350">
      <c r="C350" s="20"/>
    </row>
    <row r="351">
      <c r="C351" s="20"/>
    </row>
    <row r="352">
      <c r="C352" s="20"/>
    </row>
    <row r="353">
      <c r="C353" s="20"/>
    </row>
    <row r="354">
      <c r="C354" s="20"/>
    </row>
    <row r="355">
      <c r="C355" s="20"/>
    </row>
    <row r="356">
      <c r="C356" s="20"/>
    </row>
    <row r="357">
      <c r="C357" s="20"/>
    </row>
    <row r="358">
      <c r="C358" s="20"/>
    </row>
    <row r="359">
      <c r="C359" s="20"/>
    </row>
    <row r="360">
      <c r="C360" s="20"/>
    </row>
    <row r="361">
      <c r="C361" s="20"/>
    </row>
    <row r="362">
      <c r="C362" s="20"/>
    </row>
    <row r="363">
      <c r="C363" s="20"/>
    </row>
    <row r="364">
      <c r="C364" s="20"/>
    </row>
    <row r="365">
      <c r="C365" s="20"/>
    </row>
    <row r="366">
      <c r="C366" s="20"/>
    </row>
    <row r="367">
      <c r="C367" s="20"/>
    </row>
    <row r="368">
      <c r="C368" s="20"/>
    </row>
    <row r="369">
      <c r="C369" s="20"/>
    </row>
    <row r="370">
      <c r="C370" s="20"/>
    </row>
    <row r="371">
      <c r="C371" s="20"/>
    </row>
    <row r="372">
      <c r="C372" s="20"/>
    </row>
    <row r="373">
      <c r="C373" s="20"/>
    </row>
    <row r="374">
      <c r="C374" s="20"/>
    </row>
    <row r="375">
      <c r="C375" s="20"/>
    </row>
    <row r="376">
      <c r="C376" s="20"/>
    </row>
    <row r="377">
      <c r="C377" s="20"/>
    </row>
    <row r="378">
      <c r="C378" s="20"/>
    </row>
    <row r="379">
      <c r="C379" s="20"/>
    </row>
    <row r="380">
      <c r="C380" s="20"/>
    </row>
    <row r="381">
      <c r="C381" s="20"/>
    </row>
    <row r="382">
      <c r="C382" s="20"/>
    </row>
    <row r="383">
      <c r="C383" s="20"/>
    </row>
    <row r="384">
      <c r="C384" s="20"/>
    </row>
    <row r="385">
      <c r="C385" s="20"/>
    </row>
    <row r="386">
      <c r="C386" s="20"/>
    </row>
    <row r="387">
      <c r="C387" s="20"/>
    </row>
    <row r="388">
      <c r="C388" s="20"/>
    </row>
    <row r="389">
      <c r="C389" s="20"/>
    </row>
    <row r="390">
      <c r="C390" s="20"/>
    </row>
    <row r="391">
      <c r="C391" s="20"/>
    </row>
    <row r="392">
      <c r="C392" s="20"/>
    </row>
    <row r="393">
      <c r="C393" s="20"/>
    </row>
    <row r="394">
      <c r="C394" s="20"/>
    </row>
    <row r="395">
      <c r="C395" s="20"/>
    </row>
    <row r="396">
      <c r="C396" s="20"/>
    </row>
    <row r="397">
      <c r="C397" s="20"/>
    </row>
    <row r="398">
      <c r="C398" s="20"/>
    </row>
    <row r="399">
      <c r="C399" s="20"/>
    </row>
    <row r="400">
      <c r="C400" s="20"/>
    </row>
    <row r="401">
      <c r="C401" s="20"/>
    </row>
    <row r="402">
      <c r="C402" s="20"/>
    </row>
    <row r="403">
      <c r="C403" s="20"/>
    </row>
    <row r="404">
      <c r="C404" s="20"/>
    </row>
    <row r="405">
      <c r="C405" s="20"/>
    </row>
    <row r="406">
      <c r="C406" s="20"/>
    </row>
    <row r="407">
      <c r="C407" s="20"/>
    </row>
    <row r="408">
      <c r="C408" s="20"/>
    </row>
    <row r="409">
      <c r="C409" s="20"/>
    </row>
    <row r="410">
      <c r="C410" s="20"/>
    </row>
    <row r="411">
      <c r="C411" s="20"/>
    </row>
    <row r="412">
      <c r="C412" s="20"/>
    </row>
    <row r="413">
      <c r="C413" s="20"/>
    </row>
    <row r="414">
      <c r="C414" s="20"/>
    </row>
    <row r="415">
      <c r="C415" s="20"/>
    </row>
    <row r="416">
      <c r="C416" s="20"/>
    </row>
    <row r="417">
      <c r="C417" s="20"/>
    </row>
    <row r="418">
      <c r="C418" s="20"/>
    </row>
    <row r="419">
      <c r="C419" s="20"/>
    </row>
    <row r="420">
      <c r="C420" s="20"/>
    </row>
    <row r="421">
      <c r="C421" s="20"/>
    </row>
    <row r="422">
      <c r="C422" s="20"/>
    </row>
    <row r="423">
      <c r="C423" s="20"/>
    </row>
    <row r="424">
      <c r="C424" s="20"/>
    </row>
    <row r="425">
      <c r="C425" s="20"/>
    </row>
    <row r="426">
      <c r="C426" s="20"/>
    </row>
    <row r="427">
      <c r="C427" s="20"/>
    </row>
    <row r="428">
      <c r="C428" s="20"/>
    </row>
    <row r="429">
      <c r="C429" s="20"/>
    </row>
    <row r="430">
      <c r="C430" s="20"/>
    </row>
    <row r="431">
      <c r="C431" s="20"/>
    </row>
    <row r="432">
      <c r="C432" s="20"/>
    </row>
    <row r="433">
      <c r="C433" s="20"/>
    </row>
    <row r="434">
      <c r="C434" s="20"/>
    </row>
    <row r="435">
      <c r="C435" s="20"/>
    </row>
    <row r="436">
      <c r="C436" s="20"/>
    </row>
    <row r="437">
      <c r="C437" s="20"/>
    </row>
    <row r="438">
      <c r="C438" s="20"/>
    </row>
    <row r="439">
      <c r="C439" s="20"/>
    </row>
    <row r="440">
      <c r="C440" s="20"/>
    </row>
    <row r="441">
      <c r="C441" s="20"/>
    </row>
    <row r="442">
      <c r="C442" s="20"/>
    </row>
    <row r="443">
      <c r="C443" s="20"/>
    </row>
    <row r="444">
      <c r="C444" s="20"/>
    </row>
    <row r="445">
      <c r="C445" s="20"/>
    </row>
    <row r="446">
      <c r="C446" s="20"/>
    </row>
    <row r="447">
      <c r="C447" s="20"/>
    </row>
    <row r="448">
      <c r="C448" s="20"/>
    </row>
    <row r="449">
      <c r="C449" s="20"/>
    </row>
    <row r="450">
      <c r="C450" s="20"/>
    </row>
    <row r="451">
      <c r="C451" s="20"/>
    </row>
    <row r="452">
      <c r="C452" s="20"/>
    </row>
    <row r="453">
      <c r="C453" s="20"/>
    </row>
    <row r="454">
      <c r="C454" s="20"/>
    </row>
    <row r="455">
      <c r="C455" s="20"/>
    </row>
    <row r="456">
      <c r="C456" s="20"/>
    </row>
    <row r="457">
      <c r="C457" s="20"/>
    </row>
    <row r="458">
      <c r="C458" s="20"/>
    </row>
    <row r="459">
      <c r="C459" s="20"/>
    </row>
    <row r="460">
      <c r="C460" s="20"/>
    </row>
    <row r="461">
      <c r="C461" s="20"/>
    </row>
    <row r="462">
      <c r="C462" s="20"/>
    </row>
    <row r="463">
      <c r="C463" s="20"/>
    </row>
    <row r="464">
      <c r="C464" s="20"/>
    </row>
    <row r="465">
      <c r="C465" s="20"/>
    </row>
    <row r="466">
      <c r="C466" s="20"/>
    </row>
    <row r="467">
      <c r="C467" s="20"/>
    </row>
    <row r="468">
      <c r="C468" s="20"/>
    </row>
    <row r="469">
      <c r="C469" s="20"/>
    </row>
    <row r="470">
      <c r="C470" s="20"/>
    </row>
    <row r="471">
      <c r="C471" s="20"/>
    </row>
    <row r="472">
      <c r="C472" s="20"/>
    </row>
    <row r="473">
      <c r="C473" s="20"/>
    </row>
    <row r="474">
      <c r="C474" s="20"/>
    </row>
    <row r="475">
      <c r="C475" s="20"/>
    </row>
    <row r="476">
      <c r="C476" s="20"/>
    </row>
    <row r="477">
      <c r="C477" s="20"/>
    </row>
    <row r="478">
      <c r="C478" s="20"/>
    </row>
    <row r="479">
      <c r="C479" s="20"/>
    </row>
    <row r="480">
      <c r="C480" s="20"/>
    </row>
    <row r="481">
      <c r="C481" s="20"/>
    </row>
    <row r="482">
      <c r="C482" s="20"/>
    </row>
    <row r="483">
      <c r="C483" s="20"/>
    </row>
    <row r="484">
      <c r="C484" s="20"/>
    </row>
    <row r="485">
      <c r="C485" s="20"/>
    </row>
    <row r="486">
      <c r="C486" s="20"/>
    </row>
    <row r="487">
      <c r="C487" s="20"/>
    </row>
    <row r="488">
      <c r="C488" s="20"/>
    </row>
    <row r="489">
      <c r="C489" s="20"/>
    </row>
    <row r="490">
      <c r="C490" s="20"/>
    </row>
    <row r="491">
      <c r="C491" s="20"/>
    </row>
    <row r="492">
      <c r="C492" s="20"/>
    </row>
    <row r="493">
      <c r="C493" s="20"/>
    </row>
    <row r="494">
      <c r="C494" s="20"/>
    </row>
    <row r="495">
      <c r="C495" s="20"/>
    </row>
    <row r="496">
      <c r="C496" s="20"/>
    </row>
    <row r="497">
      <c r="C497" s="20"/>
    </row>
    <row r="498">
      <c r="C498" s="20"/>
    </row>
    <row r="499">
      <c r="C499" s="20"/>
    </row>
    <row r="500">
      <c r="C500" s="20"/>
    </row>
    <row r="501">
      <c r="C501" s="20"/>
    </row>
    <row r="502">
      <c r="C502" s="20"/>
    </row>
    <row r="503">
      <c r="C503" s="20"/>
    </row>
    <row r="504">
      <c r="C504" s="20"/>
    </row>
    <row r="505">
      <c r="C505" s="20"/>
    </row>
    <row r="506">
      <c r="C506" s="20"/>
    </row>
    <row r="507">
      <c r="C507" s="20"/>
    </row>
    <row r="508">
      <c r="C508" s="20"/>
    </row>
    <row r="509">
      <c r="C509" s="20"/>
    </row>
    <row r="510">
      <c r="C510" s="20"/>
    </row>
    <row r="511">
      <c r="C511" s="20"/>
    </row>
    <row r="512">
      <c r="C512" s="20"/>
    </row>
    <row r="513">
      <c r="C513" s="20"/>
    </row>
    <row r="514">
      <c r="C514" s="20"/>
    </row>
    <row r="515">
      <c r="C515" s="20"/>
    </row>
    <row r="516">
      <c r="C516" s="20"/>
    </row>
    <row r="517">
      <c r="C517" s="20"/>
    </row>
    <row r="518">
      <c r="C518" s="20"/>
    </row>
    <row r="519">
      <c r="C519" s="20"/>
    </row>
    <row r="520">
      <c r="C520" s="20"/>
    </row>
    <row r="521">
      <c r="C521" s="20"/>
    </row>
    <row r="522">
      <c r="C522" s="20"/>
    </row>
    <row r="523">
      <c r="C523" s="20"/>
    </row>
    <row r="524">
      <c r="C524" s="20"/>
    </row>
    <row r="525">
      <c r="C525" s="20"/>
    </row>
    <row r="526">
      <c r="C526" s="20"/>
    </row>
    <row r="527">
      <c r="C527" s="20"/>
    </row>
    <row r="528">
      <c r="C528" s="20"/>
    </row>
    <row r="529">
      <c r="C529" s="20"/>
    </row>
    <row r="530">
      <c r="C530" s="20"/>
    </row>
    <row r="531">
      <c r="C531" s="20"/>
    </row>
    <row r="532">
      <c r="C532" s="20"/>
    </row>
    <row r="533">
      <c r="C533" s="20"/>
    </row>
    <row r="534">
      <c r="C534" s="20"/>
    </row>
    <row r="535">
      <c r="C535" s="20"/>
    </row>
    <row r="536">
      <c r="C536" s="20"/>
    </row>
    <row r="537">
      <c r="C537" s="20"/>
    </row>
    <row r="538">
      <c r="C538" s="20"/>
    </row>
    <row r="539">
      <c r="C539" s="20"/>
    </row>
    <row r="540">
      <c r="C540" s="20"/>
    </row>
    <row r="541">
      <c r="C541" s="20"/>
    </row>
    <row r="542">
      <c r="C542" s="20"/>
    </row>
    <row r="543">
      <c r="C543" s="20"/>
    </row>
    <row r="544">
      <c r="C544" s="20"/>
    </row>
    <row r="545">
      <c r="C545" s="20"/>
    </row>
    <row r="546">
      <c r="C546" s="20"/>
    </row>
    <row r="547">
      <c r="C547" s="20"/>
    </row>
    <row r="548">
      <c r="C548" s="20"/>
    </row>
    <row r="549">
      <c r="C549" s="20"/>
    </row>
    <row r="550">
      <c r="C550" s="20"/>
    </row>
    <row r="551">
      <c r="C551" s="20"/>
    </row>
    <row r="552">
      <c r="C552" s="20"/>
    </row>
    <row r="553">
      <c r="C553" s="20"/>
    </row>
    <row r="554">
      <c r="C554" s="20"/>
    </row>
    <row r="555">
      <c r="C555" s="20"/>
    </row>
    <row r="556">
      <c r="C556" s="20"/>
    </row>
    <row r="557">
      <c r="C557" s="20"/>
    </row>
    <row r="558">
      <c r="C558" s="20"/>
    </row>
    <row r="559">
      <c r="C559" s="20"/>
    </row>
    <row r="560">
      <c r="C560" s="20"/>
    </row>
    <row r="561">
      <c r="C561" s="20"/>
    </row>
    <row r="562">
      <c r="C562" s="20"/>
    </row>
    <row r="563">
      <c r="C563" s="20"/>
    </row>
    <row r="564">
      <c r="C564" s="20"/>
    </row>
    <row r="565">
      <c r="C565" s="20"/>
    </row>
    <row r="566">
      <c r="C566" s="20"/>
    </row>
    <row r="567">
      <c r="C567" s="20"/>
    </row>
    <row r="568">
      <c r="C568" s="20"/>
    </row>
    <row r="569">
      <c r="C569" s="20"/>
    </row>
    <row r="570">
      <c r="C570" s="20"/>
    </row>
    <row r="571">
      <c r="C571" s="20"/>
    </row>
    <row r="572">
      <c r="C572" s="20"/>
    </row>
    <row r="573">
      <c r="C573" s="20"/>
    </row>
    <row r="574">
      <c r="C574" s="20"/>
    </row>
    <row r="575">
      <c r="C575" s="20"/>
    </row>
    <row r="576">
      <c r="C576" s="20"/>
    </row>
    <row r="577">
      <c r="C577" s="20"/>
    </row>
    <row r="578">
      <c r="C578" s="20"/>
    </row>
    <row r="579">
      <c r="C579" s="20"/>
    </row>
    <row r="580">
      <c r="C580" s="20"/>
    </row>
    <row r="581">
      <c r="C581" s="20"/>
    </row>
    <row r="582">
      <c r="C582" s="20"/>
    </row>
    <row r="583">
      <c r="C583" s="20"/>
    </row>
    <row r="584">
      <c r="C584" s="20"/>
    </row>
    <row r="585">
      <c r="C585" s="20"/>
    </row>
    <row r="586">
      <c r="C586" s="20"/>
    </row>
    <row r="587">
      <c r="C587" s="20"/>
    </row>
    <row r="588">
      <c r="C588" s="20"/>
    </row>
    <row r="589">
      <c r="C589" s="20"/>
    </row>
    <row r="590">
      <c r="C590" s="20"/>
    </row>
    <row r="591">
      <c r="C591" s="20"/>
    </row>
    <row r="592">
      <c r="C592" s="20"/>
    </row>
    <row r="593">
      <c r="C593" s="20"/>
    </row>
    <row r="594">
      <c r="C594" s="20"/>
    </row>
    <row r="595">
      <c r="C595" s="20"/>
    </row>
    <row r="596">
      <c r="C596" s="20"/>
    </row>
    <row r="597">
      <c r="C597" s="20"/>
    </row>
    <row r="598">
      <c r="C598" s="20"/>
    </row>
    <row r="599">
      <c r="C599" s="20"/>
    </row>
    <row r="600">
      <c r="C600" s="20"/>
    </row>
    <row r="601">
      <c r="C601" s="20"/>
    </row>
    <row r="602">
      <c r="C602" s="20"/>
    </row>
    <row r="603">
      <c r="C603" s="20"/>
    </row>
    <row r="604">
      <c r="C604" s="20"/>
    </row>
    <row r="605">
      <c r="C605" s="20"/>
    </row>
    <row r="606">
      <c r="C606" s="20"/>
    </row>
    <row r="607">
      <c r="C607" s="20"/>
    </row>
    <row r="608">
      <c r="C608" s="20"/>
    </row>
    <row r="609">
      <c r="C609" s="20"/>
    </row>
    <row r="610">
      <c r="C610" s="20"/>
    </row>
    <row r="611">
      <c r="C611" s="20"/>
    </row>
    <row r="612">
      <c r="C612" s="20"/>
    </row>
    <row r="613">
      <c r="C613" s="20"/>
    </row>
    <row r="614">
      <c r="C614" s="20"/>
    </row>
    <row r="615">
      <c r="C615" s="20"/>
    </row>
    <row r="616">
      <c r="C616" s="20"/>
    </row>
    <row r="617">
      <c r="C617" s="20"/>
    </row>
    <row r="618">
      <c r="C618" s="20"/>
    </row>
    <row r="619">
      <c r="C619" s="20"/>
    </row>
    <row r="620">
      <c r="C620" s="20"/>
    </row>
    <row r="621">
      <c r="C621" s="20"/>
    </row>
    <row r="622">
      <c r="C622" s="20"/>
    </row>
    <row r="623">
      <c r="C623" s="20"/>
    </row>
    <row r="624">
      <c r="C624" s="20"/>
    </row>
    <row r="625">
      <c r="C625" s="20"/>
    </row>
    <row r="626">
      <c r="C626" s="20"/>
    </row>
    <row r="627">
      <c r="C627" s="20"/>
    </row>
    <row r="628">
      <c r="C628" s="20"/>
    </row>
    <row r="629">
      <c r="C629" s="20"/>
    </row>
    <row r="630">
      <c r="C630" s="20"/>
    </row>
    <row r="631">
      <c r="C631" s="20"/>
    </row>
    <row r="632">
      <c r="C632" s="20"/>
    </row>
    <row r="633">
      <c r="C633" s="20"/>
    </row>
    <row r="634">
      <c r="C634" s="20"/>
    </row>
    <row r="635">
      <c r="C635" s="20"/>
    </row>
    <row r="636">
      <c r="C636" s="20"/>
    </row>
    <row r="637">
      <c r="C637" s="20"/>
    </row>
    <row r="638">
      <c r="C638" s="20"/>
    </row>
    <row r="639">
      <c r="C639" s="20"/>
    </row>
    <row r="640">
      <c r="C640" s="20"/>
    </row>
    <row r="641">
      <c r="C641" s="20"/>
    </row>
    <row r="642">
      <c r="C642" s="20"/>
    </row>
    <row r="643">
      <c r="C643" s="20"/>
    </row>
    <row r="644">
      <c r="C644" s="20"/>
    </row>
    <row r="645">
      <c r="C645" s="20"/>
    </row>
    <row r="646">
      <c r="C646" s="20"/>
    </row>
    <row r="647">
      <c r="C647" s="20"/>
    </row>
    <row r="648">
      <c r="C648" s="20"/>
    </row>
    <row r="649">
      <c r="C649" s="20"/>
    </row>
    <row r="650">
      <c r="C650" s="20"/>
    </row>
    <row r="651">
      <c r="C651" s="20"/>
    </row>
    <row r="652">
      <c r="C652" s="20"/>
    </row>
    <row r="653">
      <c r="C653" s="20"/>
    </row>
    <row r="654">
      <c r="C654" s="20"/>
    </row>
    <row r="655">
      <c r="C655" s="20"/>
    </row>
    <row r="656">
      <c r="C656" s="20"/>
    </row>
    <row r="657">
      <c r="C657" s="20"/>
    </row>
    <row r="658">
      <c r="C658" s="20"/>
    </row>
    <row r="659">
      <c r="C659" s="20"/>
    </row>
    <row r="660">
      <c r="C660" s="20"/>
    </row>
    <row r="661">
      <c r="C661" s="20"/>
    </row>
    <row r="662">
      <c r="C662" s="20"/>
    </row>
    <row r="663">
      <c r="C663" s="20"/>
    </row>
    <row r="664">
      <c r="C664" s="20"/>
    </row>
    <row r="665">
      <c r="C665" s="20"/>
    </row>
    <row r="666">
      <c r="C666" s="20"/>
    </row>
    <row r="667">
      <c r="C667" s="20"/>
    </row>
    <row r="668">
      <c r="C668" s="20"/>
    </row>
    <row r="669">
      <c r="C669" s="20"/>
    </row>
    <row r="670">
      <c r="C670" s="20"/>
    </row>
    <row r="671">
      <c r="C671" s="20"/>
    </row>
    <row r="672">
      <c r="C672" s="20"/>
    </row>
    <row r="673">
      <c r="C673" s="20"/>
    </row>
    <row r="674">
      <c r="C674" s="20"/>
    </row>
    <row r="675">
      <c r="C675" s="20"/>
    </row>
    <row r="676">
      <c r="C676" s="20"/>
    </row>
    <row r="677">
      <c r="C677" s="20"/>
    </row>
    <row r="678">
      <c r="C678" s="20"/>
    </row>
    <row r="679">
      <c r="C679" s="20"/>
    </row>
    <row r="680">
      <c r="C680" s="20"/>
    </row>
    <row r="681">
      <c r="C681" s="20"/>
    </row>
    <row r="682">
      <c r="C682" s="20"/>
    </row>
    <row r="683">
      <c r="C683" s="20"/>
    </row>
    <row r="684">
      <c r="C684" s="20"/>
    </row>
    <row r="685">
      <c r="C685" s="20"/>
    </row>
    <row r="686">
      <c r="C686" s="20"/>
    </row>
    <row r="687">
      <c r="C687" s="20"/>
    </row>
    <row r="688">
      <c r="C688" s="20"/>
    </row>
    <row r="689">
      <c r="C689" s="20"/>
    </row>
    <row r="690">
      <c r="C690" s="20"/>
    </row>
    <row r="691">
      <c r="C691" s="20"/>
    </row>
    <row r="692">
      <c r="C692" s="20"/>
    </row>
    <row r="693">
      <c r="C693" s="20"/>
    </row>
    <row r="694">
      <c r="C694" s="20"/>
    </row>
    <row r="695">
      <c r="C695" s="20"/>
    </row>
    <row r="696">
      <c r="C696" s="20"/>
    </row>
    <row r="697">
      <c r="C697" s="20"/>
    </row>
    <row r="698">
      <c r="C698" s="20"/>
    </row>
    <row r="699">
      <c r="C699" s="20"/>
    </row>
    <row r="700">
      <c r="C700" s="20"/>
    </row>
    <row r="701">
      <c r="C701" s="20"/>
    </row>
    <row r="702">
      <c r="C702" s="20"/>
    </row>
    <row r="703">
      <c r="C703" s="20"/>
    </row>
    <row r="704">
      <c r="C704" s="20"/>
    </row>
    <row r="705">
      <c r="C705" s="20"/>
    </row>
    <row r="706">
      <c r="C706" s="20"/>
    </row>
    <row r="707">
      <c r="C707" s="20"/>
    </row>
    <row r="708">
      <c r="C708" s="20"/>
    </row>
    <row r="709">
      <c r="C709" s="20"/>
    </row>
    <row r="710">
      <c r="C710" s="20"/>
    </row>
    <row r="711">
      <c r="C711" s="20"/>
    </row>
    <row r="712">
      <c r="C712" s="20"/>
    </row>
    <row r="713">
      <c r="C713" s="20"/>
    </row>
    <row r="714">
      <c r="C714" s="20"/>
    </row>
    <row r="715">
      <c r="C715" s="20"/>
    </row>
    <row r="716">
      <c r="C716" s="20"/>
    </row>
    <row r="717">
      <c r="C717" s="20"/>
    </row>
    <row r="718">
      <c r="C718" s="20"/>
    </row>
    <row r="719">
      <c r="C719" s="20"/>
    </row>
    <row r="720">
      <c r="C720" s="20"/>
    </row>
    <row r="721">
      <c r="C721" s="20"/>
    </row>
    <row r="722">
      <c r="C722" s="20"/>
    </row>
    <row r="723">
      <c r="C723" s="20"/>
    </row>
    <row r="724">
      <c r="C724" s="20"/>
    </row>
    <row r="725">
      <c r="C725" s="20"/>
    </row>
    <row r="726">
      <c r="C726" s="20"/>
    </row>
    <row r="727">
      <c r="C727" s="20"/>
    </row>
    <row r="728">
      <c r="C728" s="20"/>
    </row>
    <row r="729">
      <c r="C729" s="20"/>
    </row>
    <row r="730">
      <c r="C730" s="20"/>
    </row>
    <row r="731">
      <c r="C731" s="20"/>
    </row>
    <row r="732">
      <c r="C732" s="20"/>
    </row>
    <row r="733">
      <c r="C733" s="20"/>
    </row>
    <row r="734">
      <c r="C734" s="20"/>
    </row>
    <row r="735">
      <c r="C735" s="20"/>
    </row>
    <row r="736">
      <c r="C736" s="20"/>
    </row>
    <row r="737">
      <c r="C737" s="20"/>
    </row>
    <row r="738">
      <c r="C738" s="20"/>
    </row>
    <row r="739">
      <c r="C739" s="20"/>
    </row>
    <row r="740">
      <c r="C740" s="20"/>
    </row>
    <row r="741">
      <c r="C741" s="20"/>
    </row>
    <row r="742">
      <c r="C742" s="20"/>
    </row>
    <row r="743">
      <c r="C743" s="20"/>
    </row>
    <row r="744">
      <c r="C744" s="20"/>
    </row>
    <row r="745">
      <c r="C745" s="20"/>
    </row>
    <row r="746">
      <c r="C746" s="20"/>
    </row>
    <row r="747">
      <c r="C747" s="20"/>
    </row>
    <row r="748">
      <c r="C748" s="20"/>
    </row>
    <row r="749">
      <c r="C749" s="20"/>
    </row>
    <row r="750">
      <c r="C750" s="20"/>
    </row>
    <row r="751">
      <c r="C751" s="20"/>
    </row>
    <row r="752">
      <c r="C752" s="20"/>
    </row>
    <row r="753">
      <c r="C753" s="20"/>
    </row>
    <row r="754">
      <c r="C754" s="20"/>
    </row>
    <row r="755">
      <c r="C755" s="20"/>
    </row>
    <row r="756">
      <c r="C756" s="20"/>
    </row>
    <row r="757">
      <c r="C757" s="20"/>
    </row>
    <row r="758">
      <c r="C758" s="20"/>
    </row>
    <row r="759">
      <c r="C759" s="20"/>
    </row>
    <row r="760">
      <c r="C760" s="20"/>
    </row>
    <row r="761">
      <c r="C761" s="20"/>
    </row>
    <row r="762">
      <c r="C762" s="20"/>
    </row>
    <row r="763">
      <c r="C763" s="20"/>
    </row>
    <row r="764">
      <c r="C764" s="20"/>
    </row>
    <row r="765">
      <c r="C765" s="20"/>
    </row>
    <row r="766">
      <c r="C766" s="20"/>
    </row>
    <row r="767">
      <c r="C767" s="20"/>
    </row>
    <row r="768">
      <c r="C768" s="20"/>
    </row>
    <row r="769">
      <c r="C769" s="20"/>
    </row>
    <row r="770">
      <c r="C770" s="20"/>
    </row>
    <row r="771">
      <c r="C771" s="20"/>
    </row>
    <row r="772">
      <c r="C772" s="20"/>
    </row>
    <row r="773">
      <c r="C773" s="20"/>
    </row>
    <row r="774">
      <c r="C774" s="20"/>
    </row>
    <row r="775">
      <c r="C775" s="20"/>
    </row>
    <row r="776">
      <c r="C776" s="20"/>
    </row>
    <row r="777">
      <c r="C777" s="20"/>
    </row>
    <row r="778">
      <c r="C778" s="20"/>
    </row>
    <row r="779">
      <c r="C779" s="20"/>
    </row>
    <row r="780">
      <c r="C780" s="20"/>
    </row>
    <row r="781">
      <c r="C781" s="20"/>
    </row>
    <row r="782">
      <c r="C782" s="20"/>
    </row>
    <row r="783">
      <c r="C783" s="20"/>
    </row>
    <row r="784">
      <c r="C784" s="20"/>
    </row>
    <row r="785">
      <c r="C785" s="20"/>
    </row>
    <row r="786">
      <c r="C786" s="20"/>
    </row>
    <row r="787">
      <c r="C787" s="20"/>
    </row>
    <row r="788">
      <c r="C788" s="20"/>
    </row>
    <row r="789">
      <c r="C789" s="20"/>
    </row>
    <row r="790">
      <c r="C790" s="20"/>
    </row>
    <row r="791">
      <c r="C791" s="20"/>
    </row>
    <row r="792">
      <c r="C792" s="20"/>
    </row>
    <row r="793">
      <c r="C793" s="20"/>
    </row>
    <row r="794">
      <c r="C794" s="20"/>
    </row>
    <row r="795">
      <c r="C795" s="20"/>
    </row>
    <row r="796">
      <c r="C796" s="20"/>
    </row>
    <row r="797">
      <c r="C797" s="20"/>
    </row>
    <row r="798">
      <c r="C798" s="20"/>
    </row>
    <row r="799">
      <c r="C799" s="20"/>
    </row>
    <row r="800">
      <c r="C800" s="20"/>
    </row>
    <row r="801">
      <c r="C801" s="20"/>
    </row>
    <row r="802">
      <c r="C802" s="20"/>
    </row>
    <row r="803">
      <c r="C803" s="20"/>
    </row>
    <row r="804">
      <c r="C804" s="20"/>
    </row>
    <row r="805">
      <c r="C805" s="20"/>
    </row>
    <row r="806">
      <c r="C806" s="20"/>
    </row>
    <row r="807">
      <c r="C807" s="20"/>
    </row>
    <row r="808">
      <c r="C808" s="20"/>
    </row>
    <row r="809">
      <c r="C809" s="20"/>
    </row>
    <row r="810">
      <c r="C810" s="20"/>
    </row>
    <row r="811">
      <c r="C811" s="20"/>
    </row>
    <row r="812">
      <c r="C812" s="20"/>
    </row>
    <row r="813">
      <c r="C813" s="20"/>
    </row>
    <row r="814">
      <c r="C814" s="20"/>
    </row>
    <row r="815">
      <c r="C815" s="20"/>
    </row>
    <row r="816">
      <c r="C816" s="20"/>
    </row>
    <row r="817">
      <c r="C817" s="20"/>
    </row>
    <row r="818">
      <c r="C818" s="20"/>
    </row>
    <row r="819">
      <c r="C819" s="20"/>
    </row>
    <row r="820">
      <c r="C820" s="20"/>
    </row>
    <row r="821">
      <c r="C821" s="20"/>
    </row>
    <row r="822">
      <c r="C822" s="20"/>
    </row>
    <row r="823">
      <c r="C823" s="20"/>
    </row>
    <row r="824">
      <c r="C824" s="20"/>
    </row>
    <row r="825">
      <c r="C825" s="20"/>
    </row>
    <row r="826">
      <c r="C826" s="20"/>
    </row>
    <row r="827">
      <c r="C827" s="20"/>
    </row>
    <row r="828">
      <c r="C828" s="20"/>
    </row>
    <row r="829">
      <c r="C829" s="20"/>
    </row>
    <row r="830">
      <c r="C830" s="20"/>
    </row>
    <row r="831">
      <c r="C831" s="20"/>
    </row>
    <row r="832">
      <c r="C832" s="20"/>
    </row>
    <row r="833">
      <c r="C833" s="20"/>
    </row>
    <row r="834">
      <c r="C834" s="20"/>
    </row>
    <row r="835">
      <c r="C835" s="20"/>
    </row>
    <row r="836">
      <c r="C836" s="20"/>
    </row>
    <row r="837">
      <c r="C837" s="20"/>
    </row>
    <row r="838">
      <c r="C838" s="20"/>
    </row>
    <row r="839">
      <c r="C839" s="20"/>
    </row>
    <row r="840">
      <c r="C840" s="20"/>
    </row>
    <row r="841">
      <c r="C841" s="20"/>
    </row>
    <row r="842">
      <c r="C842" s="20"/>
    </row>
    <row r="843">
      <c r="C843" s="20"/>
    </row>
    <row r="844">
      <c r="C844" s="20"/>
    </row>
    <row r="845">
      <c r="C845" s="20"/>
    </row>
    <row r="846">
      <c r="C846" s="20"/>
    </row>
    <row r="847">
      <c r="C847" s="20"/>
    </row>
    <row r="848">
      <c r="C848" s="20"/>
    </row>
    <row r="849">
      <c r="C849" s="20"/>
    </row>
    <row r="850">
      <c r="C850" s="20"/>
    </row>
    <row r="851">
      <c r="C851" s="20"/>
    </row>
    <row r="852">
      <c r="C852" s="20"/>
    </row>
    <row r="853">
      <c r="C853" s="20"/>
    </row>
    <row r="854">
      <c r="C854" s="20"/>
    </row>
    <row r="855">
      <c r="C855" s="20"/>
    </row>
    <row r="856">
      <c r="C856" s="20"/>
    </row>
    <row r="857">
      <c r="C857" s="20"/>
    </row>
    <row r="858">
      <c r="C858" s="20"/>
    </row>
    <row r="859">
      <c r="C859" s="20"/>
    </row>
    <row r="860">
      <c r="C860" s="20"/>
    </row>
    <row r="861">
      <c r="C861" s="20"/>
    </row>
    <row r="862">
      <c r="C862" s="20"/>
    </row>
    <row r="863">
      <c r="C863" s="20"/>
    </row>
    <row r="864">
      <c r="C864" s="20"/>
    </row>
    <row r="865">
      <c r="C865" s="20"/>
    </row>
    <row r="866">
      <c r="C866" s="20"/>
    </row>
    <row r="867">
      <c r="C867" s="20"/>
    </row>
    <row r="868">
      <c r="C868" s="20"/>
    </row>
    <row r="869">
      <c r="C869" s="20"/>
    </row>
    <row r="870">
      <c r="C870" s="20"/>
    </row>
    <row r="871">
      <c r="C871" s="20"/>
    </row>
    <row r="872">
      <c r="C872" s="20"/>
    </row>
    <row r="873">
      <c r="C873" s="20"/>
    </row>
    <row r="874">
      <c r="C874" s="20"/>
    </row>
    <row r="875">
      <c r="C875" s="20"/>
    </row>
    <row r="876">
      <c r="C876" s="20"/>
    </row>
    <row r="877">
      <c r="C877" s="20"/>
    </row>
    <row r="878">
      <c r="C878" s="20"/>
    </row>
    <row r="879">
      <c r="C879" s="20"/>
    </row>
    <row r="880">
      <c r="C880" s="20"/>
    </row>
    <row r="881">
      <c r="C881" s="20"/>
    </row>
    <row r="882">
      <c r="C882" s="20"/>
    </row>
    <row r="883">
      <c r="C883" s="20"/>
    </row>
    <row r="884">
      <c r="C884" s="2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8.25"/>
    <col customWidth="1" min="5" max="5" width="6.38"/>
    <col customWidth="1" min="6" max="7" width="5.5"/>
    <col customWidth="1" min="8" max="8" width="8.0"/>
    <col customWidth="1" min="9" max="9" width="4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</row>
    <row r="2">
      <c r="A2" s="4" t="s">
        <v>10</v>
      </c>
      <c r="B2" s="61" t="str">
        <f>'Por año'!B18</f>
        <v>Fase General</v>
      </c>
      <c r="C2" s="20">
        <f>'Por año'!C18</f>
        <v>37</v>
      </c>
      <c r="D2" s="61" t="str">
        <f t="shared" ref="D2:D10" si="1">CONCATENATE(A2,"(",C2,")")</f>
        <v>24-25(37)</v>
      </c>
      <c r="E2" s="65">
        <f>'Por año'!E18</f>
        <v>0.973</v>
      </c>
      <c r="F2" s="66">
        <f>'Por año'!F18</f>
        <v>6.01</v>
      </c>
      <c r="G2" s="66">
        <f>'Por año'!G18</f>
        <v>7.065675676</v>
      </c>
      <c r="H2" s="66"/>
      <c r="I2" s="66">
        <f>'Por año'!I18</f>
        <v>6.437</v>
      </c>
    </row>
    <row r="3">
      <c r="A3" s="4" t="s">
        <v>28</v>
      </c>
      <c r="B3" s="61" t="str">
        <f>'Por año'!B37</f>
        <v>Fase General</v>
      </c>
      <c r="C3" s="20">
        <f>'Por año'!C37</f>
        <v>44</v>
      </c>
      <c r="D3" s="61" t="str">
        <f t="shared" si="1"/>
        <v>23-24(44)</v>
      </c>
      <c r="E3" s="65">
        <f>'Por año'!E37</f>
        <v>0.9318</v>
      </c>
      <c r="F3" s="66">
        <f>'Por año'!F37</f>
        <v>5.9</v>
      </c>
      <c r="G3" s="66">
        <f>'Por año'!G37</f>
        <v>6.837909605</v>
      </c>
      <c r="H3" s="66">
        <f>'Por año'!H37</f>
        <v>0.9572</v>
      </c>
      <c r="I3" s="66">
        <f>'Por año'!I37</f>
        <v>6.65</v>
      </c>
    </row>
    <row r="4">
      <c r="A4" s="4" t="s">
        <v>31</v>
      </c>
      <c r="B4" s="61" t="str">
        <f>'Por año'!B56</f>
        <v>Fase General</v>
      </c>
      <c r="C4" s="20">
        <f>'Por año'!C56</f>
        <v>43</v>
      </c>
      <c r="D4" s="61" t="str">
        <f t="shared" si="1"/>
        <v>22-23(43)</v>
      </c>
      <c r="E4" s="65">
        <f>'Por año'!E56</f>
        <v>0.9556</v>
      </c>
      <c r="F4" s="66">
        <f>'Por año'!F56</f>
        <v>6.41</v>
      </c>
      <c r="G4" s="66">
        <f>'Por año'!G56</f>
        <v>7.084883721</v>
      </c>
      <c r="H4" s="65">
        <f>'Por año'!H56</f>
        <v>0.9526</v>
      </c>
      <c r="I4" s="66">
        <f>'Por año'!I56</f>
        <v>6.743</v>
      </c>
    </row>
    <row r="5">
      <c r="A5" s="61" t="str">
        <f>'Por año'!A75</f>
        <v>21-22</v>
      </c>
      <c r="B5" s="61" t="str">
        <f>'Por año'!B75</f>
        <v>Fase General</v>
      </c>
      <c r="C5" s="20">
        <f>'Por año'!C75</f>
        <v>48</v>
      </c>
      <c r="D5" s="61" t="str">
        <f t="shared" si="1"/>
        <v>21-22(48)</v>
      </c>
      <c r="E5" s="65">
        <f>'Por año'!E75</f>
        <v>0.88</v>
      </c>
      <c r="F5" s="66">
        <f>'Por año'!F75</f>
        <v>6.155208333</v>
      </c>
      <c r="G5" s="66">
        <f>'Por año'!G75</f>
        <v>7.014791667</v>
      </c>
      <c r="H5" s="65">
        <f>'Por año'!H75</f>
        <v>0.9328</v>
      </c>
      <c r="I5" s="66">
        <f>'Por año'!I75</f>
        <v>6.49</v>
      </c>
    </row>
    <row r="6">
      <c r="A6" s="61" t="str">
        <f>'Por año'!A94</f>
        <v>20-21</v>
      </c>
      <c r="B6" s="61" t="str">
        <f>'Por año'!B94</f>
        <v>Fase General</v>
      </c>
      <c r="C6" s="20">
        <f>'Por año'!C94</f>
        <v>49</v>
      </c>
      <c r="D6" s="61" t="str">
        <f t="shared" si="1"/>
        <v>20-21(49)</v>
      </c>
      <c r="E6" s="65">
        <f>'Por año'!E94</f>
        <v>0.9592</v>
      </c>
      <c r="F6" s="66">
        <f>'Por año'!F94</f>
        <v>5.901370558</v>
      </c>
      <c r="G6" s="66">
        <f>'Por año'!G94</f>
        <v>6.680913706</v>
      </c>
      <c r="H6" s="65">
        <f>'Por año'!H94</f>
        <v>0.9368</v>
      </c>
      <c r="I6" s="66">
        <f>'Por año'!I94</f>
        <v>6.39</v>
      </c>
    </row>
    <row r="7">
      <c r="A7" s="61" t="str">
        <f>'Por año'!A113</f>
        <v>19-20</v>
      </c>
      <c r="B7" s="61" t="str">
        <f>'Por año'!B113</f>
        <v>Fase General</v>
      </c>
      <c r="C7" s="20">
        <f>'Por año'!C113</f>
        <v>50</v>
      </c>
      <c r="D7" s="61" t="str">
        <f t="shared" si="1"/>
        <v>19-20(50)</v>
      </c>
      <c r="E7" s="65">
        <f>'Por año'!E113</f>
        <v>0.88</v>
      </c>
      <c r="F7" s="66">
        <f>'Por año'!F113</f>
        <v>6.441522388</v>
      </c>
      <c r="G7" s="66">
        <f>'Por año'!G113</f>
        <v>8.002487562</v>
      </c>
      <c r="H7" s="65">
        <f>'Por año'!H113</f>
        <v>0.9024</v>
      </c>
      <c r="I7" s="61">
        <f>'Por año'!I113</f>
        <v>6.22</v>
      </c>
    </row>
    <row r="8">
      <c r="A8" s="61" t="str">
        <f>'Por año'!A132</f>
        <v>18-19</v>
      </c>
      <c r="B8" s="61" t="str">
        <f>'Por año'!B132</f>
        <v>Fase General</v>
      </c>
      <c r="C8" s="20">
        <f>'Por año'!C132</f>
        <v>36</v>
      </c>
      <c r="D8" s="61" t="str">
        <f t="shared" si="1"/>
        <v>18-19(36)</v>
      </c>
      <c r="E8" s="65">
        <f>'Por año'!E132</f>
        <v>0.9444</v>
      </c>
      <c r="F8" s="66">
        <f>'Por año'!F132</f>
        <v>6.068882759</v>
      </c>
      <c r="G8" s="66">
        <f>'Por año'!G132</f>
        <v>6.708</v>
      </c>
      <c r="H8" s="65">
        <f>'Por año'!H132</f>
        <v>0.9086</v>
      </c>
      <c r="I8" s="61">
        <f>'Por año'!I132</f>
        <v>6.03</v>
      </c>
    </row>
    <row r="9">
      <c r="A9" s="61" t="str">
        <f>'Por año'!A151</f>
        <v>17-18</v>
      </c>
      <c r="B9" s="61" t="str">
        <f>'Por año'!B151</f>
        <v>Fase General</v>
      </c>
      <c r="C9" s="20">
        <f>'Por año'!C151</f>
        <v>31</v>
      </c>
      <c r="D9" s="61" t="str">
        <f t="shared" si="1"/>
        <v>17-18(31)</v>
      </c>
      <c r="E9" s="65">
        <f>'Por año'!E151</f>
        <v>0.9355</v>
      </c>
      <c r="F9" s="66">
        <f>'Por año'!F151</f>
        <v>5.843269841</v>
      </c>
      <c r="G9" s="66">
        <f>'Por año'!G151</f>
        <v>6.682698413</v>
      </c>
      <c r="H9" s="65">
        <f>'Por año'!H151</f>
        <v>0.9226</v>
      </c>
      <c r="I9" s="61">
        <f>'Por año'!I151</f>
        <v>6.11</v>
      </c>
    </row>
    <row r="10">
      <c r="A10" s="61" t="str">
        <f>'Por año'!A170</f>
        <v>16-17</v>
      </c>
      <c r="B10" s="61" t="str">
        <f>'Por año'!B170</f>
        <v>Fase General</v>
      </c>
      <c r="C10" s="20">
        <f>'Por año'!C170</f>
        <v>35</v>
      </c>
      <c r="D10" s="61" t="str">
        <f t="shared" si="1"/>
        <v>16-17(35)</v>
      </c>
      <c r="E10" s="65">
        <f>'Por año'!E170</f>
        <v>0.9429</v>
      </c>
      <c r="F10" s="66">
        <f>'Por año'!F170</f>
        <v>6.005191489</v>
      </c>
      <c r="G10" s="66">
        <f>'Por año'!G170</f>
        <v>6.779078014</v>
      </c>
      <c r="H10" s="65">
        <f>'Por año'!H170</f>
        <v>0.8896</v>
      </c>
      <c r="I10" s="61">
        <f>'Por año'!I170</f>
        <v>5.97</v>
      </c>
    </row>
    <row r="16">
      <c r="I16" s="61" t="str">
        <f>'Por año'!K174</f>
        <v/>
      </c>
    </row>
    <row r="17">
      <c r="A17" s="61" t="str">
        <f>'Por año'!A175</f>
        <v/>
      </c>
      <c r="B17" s="61" t="str">
        <f>'Por año'!B175</f>
        <v/>
      </c>
      <c r="C17" s="20" t="str">
        <f>'Por año'!C175</f>
        <v/>
      </c>
      <c r="F17" s="61" t="str">
        <f>'Por año'!F175</f>
        <v/>
      </c>
      <c r="I17" s="61" t="str">
        <f>'Por año'!K175</f>
        <v/>
      </c>
    </row>
    <row r="18">
      <c r="A18" s="61" t="str">
        <f>'Por año'!A176</f>
        <v/>
      </c>
      <c r="B18" s="61" t="str">
        <f>'Por año'!B176</f>
        <v/>
      </c>
      <c r="C18" s="20" t="str">
        <f>'Por año'!C176</f>
        <v/>
      </c>
      <c r="F18" s="61" t="str">
        <f>'Por año'!F176</f>
        <v/>
      </c>
      <c r="I18" s="61" t="str">
        <f>'Por año'!K176</f>
        <v/>
      </c>
    </row>
    <row r="19">
      <c r="A19" s="61" t="str">
        <f>'Por año'!A177</f>
        <v/>
      </c>
      <c r="B19" s="61" t="str">
        <f>'Por año'!B177</f>
        <v/>
      </c>
      <c r="C19" s="20" t="str">
        <f>'Por año'!C177</f>
        <v/>
      </c>
      <c r="F19" s="61" t="str">
        <f>'Por año'!F177</f>
        <v/>
      </c>
      <c r="I19" s="61" t="str">
        <f>'Por año'!K177</f>
        <v/>
      </c>
    </row>
    <row r="20">
      <c r="A20" s="61" t="str">
        <f>'Por año'!A178</f>
        <v/>
      </c>
      <c r="B20" s="61" t="str">
        <f>'Por año'!B178</f>
        <v/>
      </c>
      <c r="C20" s="20" t="str">
        <f>'Por año'!C178</f>
        <v/>
      </c>
      <c r="F20" s="61" t="str">
        <f>'Por año'!F178</f>
        <v/>
      </c>
      <c r="I20" s="61" t="str">
        <f>'Por año'!K178</f>
        <v/>
      </c>
    </row>
    <row r="21">
      <c r="A21" s="61" t="str">
        <f>'Por año'!A179</f>
        <v/>
      </c>
      <c r="B21" s="61" t="str">
        <f>'Por año'!B179</f>
        <v/>
      </c>
      <c r="C21" s="20" t="str">
        <f>'Por año'!C179</f>
        <v/>
      </c>
      <c r="F21" s="61" t="str">
        <f>'Por año'!F179</f>
        <v/>
      </c>
      <c r="I21" s="61" t="str">
        <f>'Por año'!K179</f>
        <v/>
      </c>
    </row>
    <row r="22">
      <c r="A22" s="61" t="str">
        <f>'Por año'!A180</f>
        <v/>
      </c>
      <c r="B22" s="61" t="str">
        <f>'Por año'!B180</f>
        <v/>
      </c>
      <c r="C22" s="20" t="str">
        <f>'Por año'!C180</f>
        <v/>
      </c>
      <c r="F22" s="61" t="str">
        <f>'Por año'!F180</f>
        <v/>
      </c>
      <c r="I22" s="61" t="str">
        <f>'Por año'!K180</f>
        <v/>
      </c>
    </row>
    <row r="23">
      <c r="A23" s="61" t="str">
        <f>'Por año'!A181</f>
        <v/>
      </c>
      <c r="B23" s="61" t="str">
        <f>'Por año'!B181</f>
        <v/>
      </c>
      <c r="C23" s="20" t="str">
        <f>'Por año'!C181</f>
        <v/>
      </c>
      <c r="F23" s="61" t="str">
        <f>'Por año'!F181</f>
        <v/>
      </c>
      <c r="I23" s="61" t="str">
        <f>'Por año'!K181</f>
        <v/>
      </c>
    </row>
    <row r="24">
      <c r="A24" s="61" t="str">
        <f>'Por año'!A182</f>
        <v/>
      </c>
      <c r="B24" s="61" t="str">
        <f>'Por año'!B182</f>
        <v/>
      </c>
      <c r="C24" s="20" t="str">
        <f>'Por año'!C182</f>
        <v/>
      </c>
      <c r="F24" s="61" t="str">
        <f>'Por año'!F182</f>
        <v/>
      </c>
      <c r="I24" s="61" t="str">
        <f>'Por año'!K182</f>
        <v/>
      </c>
    </row>
    <row r="25">
      <c r="A25" s="61" t="str">
        <f>'Por año'!A183</f>
        <v/>
      </c>
      <c r="B25" s="61" t="str">
        <f>'Por año'!B183</f>
        <v/>
      </c>
      <c r="C25" s="20" t="str">
        <f>'Por año'!C183</f>
        <v/>
      </c>
      <c r="F25" s="61" t="str">
        <f>'Por año'!F183</f>
        <v/>
      </c>
      <c r="I25" s="61" t="str">
        <f>'Por año'!K183</f>
        <v/>
      </c>
    </row>
    <row r="26">
      <c r="A26" s="61" t="str">
        <f>'Por año'!A184</f>
        <v/>
      </c>
      <c r="B26" s="61" t="str">
        <f>'Por año'!B184</f>
        <v/>
      </c>
      <c r="C26" s="20" t="str">
        <f>'Por año'!C184</f>
        <v/>
      </c>
      <c r="F26" s="61" t="str">
        <f>'Por año'!F184</f>
        <v/>
      </c>
      <c r="I26" s="61" t="str">
        <f>'Por año'!K184</f>
        <v/>
      </c>
    </row>
    <row r="27">
      <c r="A27" s="61" t="str">
        <f>'Por año'!A185</f>
        <v/>
      </c>
      <c r="B27" s="61" t="str">
        <f>'Por año'!B185</f>
        <v/>
      </c>
      <c r="C27" s="20" t="str">
        <f>'Por año'!C185</f>
        <v/>
      </c>
      <c r="F27" s="61" t="str">
        <f>'Por año'!F185</f>
        <v/>
      </c>
      <c r="I27" s="61" t="str">
        <f>'Por año'!K185</f>
        <v/>
      </c>
    </row>
    <row r="28">
      <c r="A28" s="61" t="str">
        <f>'Por año'!A186</f>
        <v/>
      </c>
      <c r="B28" s="61" t="str">
        <f>'Por año'!B186</f>
        <v/>
      </c>
      <c r="C28" s="20" t="str">
        <f>'Por año'!C186</f>
        <v/>
      </c>
      <c r="F28" s="61" t="str">
        <f>'Por año'!F186</f>
        <v/>
      </c>
      <c r="I28" s="61" t="str">
        <f>'Por año'!K186</f>
        <v/>
      </c>
    </row>
    <row r="29">
      <c r="A29" s="61" t="str">
        <f>'Por año'!A187</f>
        <v/>
      </c>
      <c r="B29" s="61" t="str">
        <f>'Por año'!B187</f>
        <v/>
      </c>
      <c r="C29" s="20" t="str">
        <f>'Por año'!C187</f>
        <v/>
      </c>
      <c r="F29" s="61" t="str">
        <f>'Por año'!F187</f>
        <v/>
      </c>
      <c r="I29" s="61" t="str">
        <f>'Por año'!K187</f>
        <v/>
      </c>
    </row>
    <row r="30">
      <c r="A30" s="61" t="str">
        <f>'Por año'!A188</f>
        <v/>
      </c>
      <c r="B30" s="61" t="str">
        <f>'Por año'!B188</f>
        <v/>
      </c>
      <c r="C30" s="20" t="str">
        <f>'Por año'!C188</f>
        <v/>
      </c>
      <c r="F30" s="61" t="str">
        <f>'Por año'!F188</f>
        <v/>
      </c>
      <c r="I30" s="61" t="str">
        <f>'Por año'!K188</f>
        <v/>
      </c>
    </row>
    <row r="31">
      <c r="A31" s="61" t="str">
        <f>'Por año'!A189</f>
        <v/>
      </c>
      <c r="B31" s="61" t="str">
        <f>'Por año'!B189</f>
        <v/>
      </c>
      <c r="C31" s="20" t="str">
        <f>'Por año'!C189</f>
        <v/>
      </c>
      <c r="F31" s="61" t="str">
        <f>'Por año'!F189</f>
        <v/>
      </c>
      <c r="I31" s="61" t="str">
        <f>'Por año'!K189</f>
        <v/>
      </c>
    </row>
    <row r="32">
      <c r="A32" s="61" t="str">
        <f>'Por año'!A190</f>
        <v/>
      </c>
      <c r="B32" s="61" t="str">
        <f>'Por año'!B190</f>
        <v/>
      </c>
      <c r="C32" s="20" t="str">
        <f>'Por año'!C190</f>
        <v/>
      </c>
      <c r="F32" s="61" t="str">
        <f>'Por año'!F190</f>
        <v/>
      </c>
      <c r="I32" s="61" t="str">
        <f>'Por año'!K190</f>
        <v/>
      </c>
    </row>
    <row r="33">
      <c r="A33" s="61" t="str">
        <f>'Por año'!A191</f>
        <v/>
      </c>
      <c r="B33" s="61" t="str">
        <f>'Por año'!B191</f>
        <v/>
      </c>
      <c r="C33" s="20" t="str">
        <f>'Por año'!C191</f>
        <v/>
      </c>
      <c r="F33" s="61" t="str">
        <f>'Por año'!F191</f>
        <v/>
      </c>
      <c r="I33" s="61" t="str">
        <f>'Por año'!K191</f>
        <v/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6.5"/>
    <col customWidth="1" min="3" max="3" width="3.0"/>
    <col customWidth="1" min="4" max="4" width="9.63"/>
    <col customWidth="1" min="5" max="5" width="6.38"/>
    <col customWidth="1" min="6" max="6" width="5.5"/>
    <col customWidth="1" min="7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" t="s">
        <v>6</v>
      </c>
      <c r="G1" s="6" t="s">
        <v>7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año'!A4</f>
        <v>24-25</v>
      </c>
      <c r="B2" s="61" t="str">
        <f>'Por año'!B4</f>
        <v>Lengua</v>
      </c>
      <c r="C2" s="20">
        <f>'Por año'!C4</f>
        <v>37</v>
      </c>
      <c r="D2" s="61" t="str">
        <f t="shared" ref="D2:D10" si="1">CONCATENATE(A2,"(",C2,")")</f>
        <v>24-25(37)</v>
      </c>
      <c r="E2" s="21">
        <f>'Por año'!E4</f>
        <v>0.7027</v>
      </c>
      <c r="F2" s="61">
        <f>'Por año'!F4</f>
        <v>5.37</v>
      </c>
      <c r="G2" s="61">
        <f>'Por año'!G4</f>
        <v>7.16</v>
      </c>
      <c r="H2" s="21">
        <f>'Por año'!H4</f>
        <v>0.8326</v>
      </c>
      <c r="I2" s="61">
        <f>'Por año'!I4</f>
        <v>6.5</v>
      </c>
    </row>
    <row r="3">
      <c r="A3" s="61" t="str">
        <f>'Por año'!A23</f>
        <v>23-24</v>
      </c>
      <c r="B3" s="61" t="str">
        <f>'Por año'!B23</f>
        <v>Lengua</v>
      </c>
      <c r="C3" s="20">
        <f>'Por año'!C23</f>
        <v>44</v>
      </c>
      <c r="D3" s="61" t="str">
        <f t="shared" si="1"/>
        <v>23-24(44)</v>
      </c>
      <c r="E3" s="21">
        <f>'Por año'!E23</f>
        <v>0.7333</v>
      </c>
      <c r="F3" s="61">
        <f>'Por año'!F23</f>
        <v>5.66</v>
      </c>
      <c r="G3" s="61">
        <f>'Por año'!G23</f>
        <v>6.73</v>
      </c>
      <c r="H3" s="21">
        <f>'Por año'!H23</f>
        <v>0.8821</v>
      </c>
      <c r="I3" s="61">
        <f>'Por año'!I23</f>
        <v>6.86</v>
      </c>
    </row>
    <row r="4">
      <c r="A4" s="61" t="str">
        <f>'Por año'!A42</f>
        <v>22-23</v>
      </c>
      <c r="B4" s="61" t="str">
        <f>'Por año'!B42</f>
        <v>Lengua</v>
      </c>
      <c r="C4" s="20">
        <f>'Por año'!C42</f>
        <v>43</v>
      </c>
      <c r="D4" s="61" t="str">
        <f t="shared" si="1"/>
        <v>22-23(43)</v>
      </c>
      <c r="E4" s="21">
        <f>'Por año'!E42</f>
        <v>0.7111</v>
      </c>
      <c r="F4" s="61">
        <f>'Por año'!F42</f>
        <v>5.68</v>
      </c>
      <c r="G4" s="61">
        <f>'Por año'!G42</f>
        <v>7.2</v>
      </c>
      <c r="H4" s="21">
        <f>'Por año'!H42</f>
        <v>0.8378</v>
      </c>
      <c r="I4" s="61">
        <f>'Por año'!I42</f>
        <v>6.61</v>
      </c>
    </row>
    <row r="5">
      <c r="A5" s="61" t="str">
        <f>'Por año'!A61</f>
        <v>21-22</v>
      </c>
      <c r="B5" s="61" t="str">
        <f>'Por año'!B61</f>
        <v>Lengua</v>
      </c>
      <c r="C5" s="20">
        <f>'Por año'!C61</f>
        <v>48</v>
      </c>
      <c r="D5" s="61" t="str">
        <f t="shared" si="1"/>
        <v>21-22(48)</v>
      </c>
      <c r="E5" s="21">
        <f>'Por año'!E61</f>
        <v>0.6735</v>
      </c>
      <c r="F5" s="61">
        <f>'Por año'!F61</f>
        <v>6.19</v>
      </c>
      <c r="G5" s="61">
        <f>'Por año'!G61</f>
        <v>6.77</v>
      </c>
      <c r="H5" s="21">
        <f>'Por año'!H61</f>
        <v>0.8373</v>
      </c>
      <c r="I5" s="61">
        <f>'Por año'!I61</f>
        <v>6.66</v>
      </c>
    </row>
    <row r="6">
      <c r="A6" s="61" t="str">
        <f>'Por año'!A80</f>
        <v>20-21</v>
      </c>
      <c r="B6" s="61" t="str">
        <f>'Por año'!B80</f>
        <v>Lengua</v>
      </c>
      <c r="C6" s="20">
        <f>'Por año'!C80</f>
        <v>49</v>
      </c>
      <c r="D6" s="61" t="str">
        <f t="shared" si="1"/>
        <v>20-21(49)</v>
      </c>
      <c r="E6" s="21">
        <f>'Por año'!E80</f>
        <v>0.7083</v>
      </c>
      <c r="F6" s="61">
        <f>'Por año'!F80</f>
        <v>5.82</v>
      </c>
      <c r="G6" s="61">
        <f>'Por año'!G80</f>
        <v>6.43</v>
      </c>
      <c r="H6" s="21">
        <f>'Por año'!H80</f>
        <v>0.8332</v>
      </c>
      <c r="I6" s="61">
        <f>'Por año'!I80</f>
        <v>6.54</v>
      </c>
    </row>
    <row r="7">
      <c r="A7" s="61" t="str">
        <f>'Por año'!A99</f>
        <v>19-20</v>
      </c>
      <c r="B7" s="61" t="str">
        <f>'Por año'!B99</f>
        <v>Lengua</v>
      </c>
      <c r="C7" s="20">
        <f>'Por año'!C99</f>
        <v>50</v>
      </c>
      <c r="D7" s="61" t="str">
        <f t="shared" si="1"/>
        <v>19-20(50)</v>
      </c>
      <c r="E7" s="21">
        <f>'Por año'!E99</f>
        <v>0.62</v>
      </c>
      <c r="F7" s="61">
        <f>'Por año'!F99</f>
        <v>6.155</v>
      </c>
      <c r="G7" s="61">
        <f>'Por año'!G99</f>
        <v>7.96</v>
      </c>
      <c r="H7" s="21">
        <f>'Por año'!H99</f>
        <v>0.786</v>
      </c>
      <c r="I7" s="61">
        <f>'Por año'!I99</f>
        <v>6.366</v>
      </c>
    </row>
    <row r="8">
      <c r="A8" s="61" t="str">
        <f>'Por año'!A118</f>
        <v>18-19</v>
      </c>
      <c r="B8" s="61" t="str">
        <f>'Por año'!B118</f>
        <v>Lengua</v>
      </c>
      <c r="C8" s="20">
        <f>'Por año'!C118</f>
        <v>36</v>
      </c>
      <c r="D8" s="61" t="str">
        <f t="shared" si="1"/>
        <v>18-19(36)</v>
      </c>
      <c r="E8" s="21">
        <f>'Por año'!E118</f>
        <v>0.6944</v>
      </c>
      <c r="F8" s="61">
        <f>'Por año'!F118</f>
        <v>5.646</v>
      </c>
      <c r="G8" s="61">
        <f>'Por año'!G118</f>
        <v>6.53</v>
      </c>
      <c r="H8" s="21">
        <f>'Por año'!H118</f>
        <v>0.803</v>
      </c>
      <c r="I8" s="61">
        <f>'Por año'!I118</f>
        <v>6.434</v>
      </c>
    </row>
    <row r="9">
      <c r="A9" s="61" t="str">
        <f>'Por año'!A137</f>
        <v>17-18</v>
      </c>
      <c r="B9" s="61" t="str">
        <f>'Por año'!B137</f>
        <v>Lengua</v>
      </c>
      <c r="C9" s="20">
        <f>'Por año'!C137</f>
        <v>31</v>
      </c>
      <c r="D9" s="61" t="str">
        <f t="shared" si="1"/>
        <v>17-18(31)</v>
      </c>
      <c r="E9" s="21">
        <f>'Por año'!E137</f>
        <v>0.5806</v>
      </c>
      <c r="F9" s="61">
        <f>'Por año'!F137</f>
        <v>4.944</v>
      </c>
      <c r="G9" s="61">
        <f>'Por año'!G137</f>
        <v>6.46</v>
      </c>
      <c r="H9" s="21">
        <f>'Por año'!H137</f>
        <v>0.7434</v>
      </c>
      <c r="I9" s="61">
        <f>'Por año'!I137</f>
        <v>5.955</v>
      </c>
    </row>
    <row r="10">
      <c r="A10" s="61" t="str">
        <f>'Por año'!A156</f>
        <v>16-17</v>
      </c>
      <c r="B10" s="61" t="str">
        <f>'Por año'!B156</f>
        <v>Lengua</v>
      </c>
      <c r="C10" s="20">
        <f>'Por año'!C156</f>
        <v>35</v>
      </c>
      <c r="D10" s="61" t="str">
        <f t="shared" si="1"/>
        <v>16-17(35)</v>
      </c>
      <c r="E10" s="21">
        <f>'Por año'!E156</f>
        <v>0.6</v>
      </c>
      <c r="F10" s="61">
        <f>'Por año'!F156</f>
        <v>5.5</v>
      </c>
      <c r="G10" s="61">
        <f>'Por año'!G156</f>
        <v>6.43</v>
      </c>
      <c r="H10" s="21">
        <f>'Por año'!H156</f>
        <v>0.7856</v>
      </c>
      <c r="I10" s="61">
        <f>'Por año'!I156</f>
        <v>6.165</v>
      </c>
    </row>
    <row r="11">
      <c r="J11" s="61" t="str">
        <f>'Por año'!K170</f>
        <v/>
      </c>
    </row>
    <row r="12">
      <c r="A12" s="61" t="str">
        <f>'Por año'!A172</f>
        <v/>
      </c>
      <c r="B12" s="61" t="str">
        <f>'Por año'!B172</f>
        <v/>
      </c>
      <c r="C12" s="20" t="str">
        <f>'Por año'!C172</f>
        <v/>
      </c>
      <c r="E12" s="61" t="str">
        <f>'Por año'!E172</f>
        <v/>
      </c>
      <c r="F12" s="61" t="str">
        <f>'Por año'!F172</f>
        <v/>
      </c>
      <c r="H12" s="21" t="str">
        <f>'Por año'!H172</f>
        <v/>
      </c>
      <c r="I12" s="61" t="str">
        <f>'Por año'!I172</f>
        <v/>
      </c>
      <c r="J12" s="61" t="str">
        <f>'Por año'!K172</f>
        <v/>
      </c>
    </row>
    <row r="13">
      <c r="A13" s="61" t="str">
        <f>'Por año'!A173</f>
        <v/>
      </c>
      <c r="B13" s="61" t="str">
        <f>'Por año'!B173</f>
        <v/>
      </c>
      <c r="C13" s="20" t="str">
        <f>'Por año'!C173</f>
        <v/>
      </c>
      <c r="E13" s="61" t="str">
        <f>'Por año'!E173</f>
        <v/>
      </c>
      <c r="F13" s="61" t="str">
        <f>'Por año'!F173</f>
        <v/>
      </c>
      <c r="H13" s="21" t="str">
        <f>'Por año'!H173</f>
        <v/>
      </c>
      <c r="I13" s="61" t="str">
        <f>'Por año'!I173</f>
        <v/>
      </c>
      <c r="J13" s="61" t="str">
        <f>'Por año'!K173</f>
        <v/>
      </c>
    </row>
    <row r="14">
      <c r="A14" s="61" t="str">
        <f>'Por año'!A174</f>
        <v/>
      </c>
      <c r="B14" s="61" t="str">
        <f>'Por año'!B174</f>
        <v/>
      </c>
      <c r="C14" s="20" t="str">
        <f>'Por año'!C174</f>
        <v/>
      </c>
      <c r="E14" s="61" t="str">
        <f>'Por año'!E174</f>
        <v/>
      </c>
      <c r="F14" s="61" t="str">
        <f>'Por año'!F174</f>
        <v/>
      </c>
      <c r="H14" s="21" t="str">
        <f>'Por año'!H174</f>
        <v/>
      </c>
      <c r="I14" s="61" t="str">
        <f>'Por año'!I174</f>
        <v/>
      </c>
      <c r="J14" s="61" t="str">
        <f>'Por año'!K174</f>
        <v/>
      </c>
    </row>
    <row r="15">
      <c r="A15" s="61" t="str">
        <f>'Por año'!A175</f>
        <v/>
      </c>
      <c r="B15" s="61" t="str">
        <f>'Por año'!B175</f>
        <v/>
      </c>
      <c r="C15" s="20" t="str">
        <f>'Por año'!C175</f>
        <v/>
      </c>
      <c r="E15" s="61" t="str">
        <f>'Por año'!E175</f>
        <v/>
      </c>
      <c r="F15" s="61" t="str">
        <f>'Por año'!F175</f>
        <v/>
      </c>
      <c r="H15" s="21" t="str">
        <f>'Por año'!H175</f>
        <v/>
      </c>
      <c r="I15" s="61" t="str">
        <f>'Por año'!I175</f>
        <v/>
      </c>
      <c r="J15" s="61" t="str">
        <f>'Por año'!K175</f>
        <v/>
      </c>
    </row>
    <row r="16">
      <c r="A16" s="61" t="str">
        <f>'Por año'!A176</f>
        <v/>
      </c>
      <c r="B16" s="61" t="str">
        <f>'Por año'!B176</f>
        <v/>
      </c>
      <c r="C16" s="20" t="str">
        <f>'Por año'!C176</f>
        <v/>
      </c>
      <c r="E16" s="61" t="str">
        <f>'Por año'!E176</f>
        <v/>
      </c>
      <c r="F16" s="61" t="str">
        <f>'Por año'!F176</f>
        <v/>
      </c>
      <c r="H16" s="21" t="str">
        <f>'Por año'!H176</f>
        <v/>
      </c>
      <c r="I16" s="61" t="str">
        <f>'Por año'!I176</f>
        <v/>
      </c>
      <c r="J16" s="61" t="str">
        <f>'Por año'!K176</f>
        <v/>
      </c>
    </row>
    <row r="17">
      <c r="A17" s="61" t="str">
        <f>'Por año'!A177</f>
        <v/>
      </c>
      <c r="B17" s="61" t="str">
        <f>'Por año'!B177</f>
        <v/>
      </c>
      <c r="C17" s="20" t="str">
        <f>'Por año'!C177</f>
        <v/>
      </c>
      <c r="E17" s="61" t="str">
        <f>'Por año'!E177</f>
        <v/>
      </c>
      <c r="F17" s="61" t="str">
        <f>'Por año'!F177</f>
        <v/>
      </c>
      <c r="H17" s="21" t="str">
        <f>'Por año'!H177</f>
        <v/>
      </c>
      <c r="I17" s="61" t="str">
        <f>'Por año'!I177</f>
        <v/>
      </c>
      <c r="J17" s="61" t="str">
        <f>'Por año'!K177</f>
        <v/>
      </c>
    </row>
    <row r="18">
      <c r="A18" s="61" t="str">
        <f>'Por año'!A178</f>
        <v/>
      </c>
      <c r="B18" s="61" t="str">
        <f>'Por año'!B178</f>
        <v/>
      </c>
      <c r="C18" s="20" t="str">
        <f>'Por año'!C178</f>
        <v/>
      </c>
      <c r="E18" s="61" t="str">
        <f>'Por año'!E178</f>
        <v/>
      </c>
      <c r="F18" s="61" t="str">
        <f>'Por año'!F178</f>
        <v/>
      </c>
      <c r="H18" s="21" t="str">
        <f>'Por año'!H178</f>
        <v/>
      </c>
      <c r="I18" s="61" t="str">
        <f>'Por año'!I178</f>
        <v/>
      </c>
      <c r="J18" s="61" t="str">
        <f>'Por año'!K178</f>
        <v/>
      </c>
    </row>
    <row r="19">
      <c r="A19" s="61" t="str">
        <f>'Por año'!A179</f>
        <v/>
      </c>
      <c r="B19" s="61" t="str">
        <f>'Por año'!B179</f>
        <v/>
      </c>
      <c r="C19" s="20" t="str">
        <f>'Por año'!C179</f>
        <v/>
      </c>
      <c r="E19" s="61" t="str">
        <f>'Por año'!E179</f>
        <v/>
      </c>
      <c r="F19" s="61" t="str">
        <f>'Por año'!F179</f>
        <v/>
      </c>
      <c r="H19" s="21" t="str">
        <f>'Por año'!H179</f>
        <v/>
      </c>
      <c r="I19" s="61" t="str">
        <f>'Por año'!I179</f>
        <v/>
      </c>
      <c r="J19" s="61" t="str">
        <f>'Por año'!K179</f>
        <v/>
      </c>
    </row>
    <row r="20">
      <c r="A20" s="61" t="str">
        <f>'Por año'!A180</f>
        <v/>
      </c>
      <c r="B20" s="61" t="str">
        <f>'Por año'!B180</f>
        <v/>
      </c>
      <c r="C20" s="20" t="str">
        <f>'Por año'!C180</f>
        <v/>
      </c>
      <c r="E20" s="61" t="str">
        <f>'Por año'!E180</f>
        <v/>
      </c>
      <c r="F20" s="61" t="str">
        <f>'Por año'!F180</f>
        <v/>
      </c>
      <c r="H20" s="21" t="str">
        <f>'Por año'!H180</f>
        <v/>
      </c>
      <c r="I20" s="61" t="str">
        <f>'Por año'!I180</f>
        <v/>
      </c>
      <c r="J20" s="61" t="str">
        <f>'Por año'!K180</f>
        <v/>
      </c>
    </row>
    <row r="21">
      <c r="A21" s="61" t="str">
        <f>'Por año'!A181</f>
        <v/>
      </c>
      <c r="B21" s="61" t="str">
        <f>'Por año'!B181</f>
        <v/>
      </c>
      <c r="C21" s="20" t="str">
        <f>'Por año'!C181</f>
        <v/>
      </c>
      <c r="E21" s="61" t="str">
        <f>'Por año'!E181</f>
        <v/>
      </c>
      <c r="F21" s="61" t="str">
        <f>'Por año'!F181</f>
        <v/>
      </c>
      <c r="H21" s="21" t="str">
        <f>'Por año'!H181</f>
        <v/>
      </c>
      <c r="I21" s="61" t="str">
        <f>'Por año'!I181</f>
        <v/>
      </c>
      <c r="J21" s="61" t="str">
        <f>'Por año'!K181</f>
        <v/>
      </c>
    </row>
    <row r="22">
      <c r="A22" s="61" t="str">
        <f>'Por año'!A182</f>
        <v/>
      </c>
      <c r="B22" s="61" t="str">
        <f>'Por año'!B182</f>
        <v/>
      </c>
      <c r="C22" s="20" t="str">
        <f>'Por año'!C182</f>
        <v/>
      </c>
      <c r="E22" s="61" t="str">
        <f>'Por año'!E182</f>
        <v/>
      </c>
      <c r="F22" s="61" t="str">
        <f>'Por año'!F182</f>
        <v/>
      </c>
      <c r="H22" s="21" t="str">
        <f>'Por año'!H182</f>
        <v/>
      </c>
      <c r="I22" s="61" t="str">
        <f>'Por año'!I182</f>
        <v/>
      </c>
      <c r="J22" s="61" t="str">
        <f>'Por año'!K182</f>
        <v/>
      </c>
    </row>
    <row r="23">
      <c r="A23" s="61" t="str">
        <f>'Por año'!A183</f>
        <v/>
      </c>
      <c r="B23" s="61" t="str">
        <f>'Por año'!B183</f>
        <v/>
      </c>
      <c r="C23" s="20" t="str">
        <f>'Por año'!C183</f>
        <v/>
      </c>
      <c r="E23" s="61" t="str">
        <f>'Por año'!E183</f>
        <v/>
      </c>
      <c r="F23" s="61" t="str">
        <f>'Por año'!F183</f>
        <v/>
      </c>
      <c r="H23" s="21" t="str">
        <f>'Por año'!H183</f>
        <v/>
      </c>
      <c r="I23" s="61" t="str">
        <f>'Por año'!I183</f>
        <v/>
      </c>
      <c r="J23" s="61" t="str">
        <f>'Por año'!K183</f>
        <v/>
      </c>
    </row>
    <row r="24">
      <c r="A24" s="61" t="str">
        <f>'Por año'!A184</f>
        <v/>
      </c>
      <c r="B24" s="61" t="str">
        <f>'Por año'!B184</f>
        <v/>
      </c>
      <c r="C24" s="20" t="str">
        <f>'Por año'!C184</f>
        <v/>
      </c>
      <c r="E24" s="61" t="str">
        <f>'Por año'!E184</f>
        <v/>
      </c>
      <c r="F24" s="61" t="str">
        <f>'Por año'!F184</f>
        <v/>
      </c>
      <c r="H24" s="21" t="str">
        <f>'Por año'!H184</f>
        <v/>
      </c>
      <c r="I24" s="61" t="str">
        <f>'Por año'!I184</f>
        <v/>
      </c>
      <c r="J24" s="61" t="str">
        <f>'Por año'!K184</f>
        <v/>
      </c>
    </row>
    <row r="25">
      <c r="A25" s="61" t="str">
        <f>'Por año'!A185</f>
        <v/>
      </c>
      <c r="B25" s="61" t="str">
        <f>'Por año'!B185</f>
        <v/>
      </c>
      <c r="C25" s="20" t="str">
        <f>'Por año'!C185</f>
        <v/>
      </c>
      <c r="E25" s="61" t="str">
        <f>'Por año'!E185</f>
        <v/>
      </c>
      <c r="F25" s="61" t="str">
        <f>'Por año'!F185</f>
        <v/>
      </c>
      <c r="H25" s="21" t="str">
        <f>'Por año'!H185</f>
        <v/>
      </c>
      <c r="I25" s="61" t="str">
        <f>'Por año'!I185</f>
        <v/>
      </c>
      <c r="J25" s="61" t="str">
        <f>'Por año'!K185</f>
        <v/>
      </c>
    </row>
    <row r="26">
      <c r="A26" s="61" t="str">
        <f>'Por año'!A186</f>
        <v/>
      </c>
      <c r="B26" s="61" t="str">
        <f>'Por año'!B186</f>
        <v/>
      </c>
      <c r="C26" s="20" t="str">
        <f>'Por año'!C186</f>
        <v/>
      </c>
      <c r="E26" s="61" t="str">
        <f>'Por año'!E186</f>
        <v/>
      </c>
      <c r="F26" s="61" t="str">
        <f>'Por año'!F186</f>
        <v/>
      </c>
      <c r="H26" s="21" t="str">
        <f>'Por año'!H186</f>
        <v/>
      </c>
      <c r="I26" s="61" t="str">
        <f>'Por año'!I186</f>
        <v/>
      </c>
      <c r="J26" s="61" t="str">
        <f>'Por año'!K186</f>
        <v/>
      </c>
    </row>
    <row r="27">
      <c r="A27" s="61" t="str">
        <f>'Por año'!A187</f>
        <v/>
      </c>
      <c r="B27" s="61" t="str">
        <f>'Por año'!B187</f>
        <v/>
      </c>
      <c r="C27" s="20" t="str">
        <f>'Por año'!C187</f>
        <v/>
      </c>
      <c r="E27" s="61" t="str">
        <f>'Por año'!E187</f>
        <v/>
      </c>
      <c r="F27" s="61" t="str">
        <f>'Por año'!F187</f>
        <v/>
      </c>
      <c r="H27" s="21" t="str">
        <f>'Por año'!H187</f>
        <v/>
      </c>
      <c r="I27" s="61" t="str">
        <f>'Por año'!I187</f>
        <v/>
      </c>
      <c r="J27" s="61" t="str">
        <f>'Por año'!K187</f>
        <v/>
      </c>
    </row>
    <row r="28">
      <c r="A28" s="61" t="str">
        <f>'Por año'!A188</f>
        <v/>
      </c>
      <c r="B28" s="61" t="str">
        <f>'Por año'!B188</f>
        <v/>
      </c>
      <c r="C28" s="20" t="str">
        <f>'Por año'!C188</f>
        <v/>
      </c>
      <c r="E28" s="61" t="str">
        <f>'Por año'!E188</f>
        <v/>
      </c>
      <c r="F28" s="61" t="str">
        <f>'Por año'!F188</f>
        <v/>
      </c>
      <c r="H28" s="21" t="str">
        <f>'Por año'!H188</f>
        <v/>
      </c>
      <c r="I28" s="61" t="str">
        <f>'Por año'!I188</f>
        <v/>
      </c>
      <c r="J28" s="61" t="str">
        <f>'Por año'!K188</f>
        <v/>
      </c>
    </row>
    <row r="29">
      <c r="A29" s="61" t="str">
        <f>'Por año'!A189</f>
        <v/>
      </c>
      <c r="B29" s="61" t="str">
        <f>'Por año'!B189</f>
        <v/>
      </c>
      <c r="C29" s="20" t="str">
        <f>'Por año'!C189</f>
        <v/>
      </c>
      <c r="E29" s="61" t="str">
        <f>'Por año'!E189</f>
        <v/>
      </c>
      <c r="F29" s="61" t="str">
        <f>'Por año'!F189</f>
        <v/>
      </c>
      <c r="H29" s="21" t="str">
        <f>'Por año'!H189</f>
        <v/>
      </c>
      <c r="I29" s="61" t="str">
        <f>'Por año'!I189</f>
        <v/>
      </c>
      <c r="J29" s="61" t="str">
        <f>'Por año'!K189</f>
        <v/>
      </c>
    </row>
    <row r="30">
      <c r="A30" s="61" t="str">
        <f>'Por año'!A190</f>
        <v/>
      </c>
      <c r="B30" s="61" t="str">
        <f>'Por año'!B190</f>
        <v/>
      </c>
      <c r="C30" s="20" t="str">
        <f>'Por año'!C190</f>
        <v/>
      </c>
      <c r="E30" s="61" t="str">
        <f>'Por año'!E190</f>
        <v/>
      </c>
      <c r="F30" s="61" t="str">
        <f>'Por año'!F190</f>
        <v/>
      </c>
      <c r="H30" s="21" t="str">
        <f>'Por año'!H190</f>
        <v/>
      </c>
      <c r="I30" s="61" t="str">
        <f>'Por año'!I190</f>
        <v/>
      </c>
      <c r="J30" s="61" t="str">
        <f>'Por año'!K190</f>
        <v/>
      </c>
    </row>
    <row r="31">
      <c r="A31" s="61" t="str">
        <f>'Por año'!A191</f>
        <v/>
      </c>
      <c r="B31" s="61" t="str">
        <f>'Por año'!B191</f>
        <v/>
      </c>
      <c r="C31" s="20" t="str">
        <f>'Por año'!C191</f>
        <v/>
      </c>
      <c r="E31" s="61" t="str">
        <f>'Por año'!E191</f>
        <v/>
      </c>
      <c r="F31" s="61" t="str">
        <f>'Por año'!F191</f>
        <v/>
      </c>
      <c r="H31" s="21" t="str">
        <f>'Por año'!H191</f>
        <v/>
      </c>
      <c r="I31" s="61" t="str">
        <f>'Por año'!I191</f>
        <v/>
      </c>
      <c r="J31" s="61" t="str">
        <f>'Por año'!K191</f>
        <v/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6.5"/>
    <col customWidth="1" min="3" max="3" width="3.0"/>
    <col customWidth="1" min="4" max="4" width="9.63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año'!A5</f>
        <v>24-25</v>
      </c>
      <c r="B2" s="61" t="str">
        <f>'Por año'!B5</f>
        <v>Inglés</v>
      </c>
      <c r="C2" s="20">
        <f>'Por año'!C5</f>
        <v>37</v>
      </c>
      <c r="D2" s="61" t="str">
        <f t="shared" ref="D2:D10" si="1">CONCATENATE(A2,"(",C2,")")</f>
        <v>24-25(37)</v>
      </c>
      <c r="E2" s="21">
        <f>'Por año'!E5</f>
        <v>0.8378</v>
      </c>
      <c r="F2" s="61">
        <f>'Por año'!F5</f>
        <v>7.01</v>
      </c>
      <c r="G2" s="61">
        <f>'Por año'!G5</f>
        <v>7</v>
      </c>
      <c r="H2" s="21">
        <f>'Por año'!H5</f>
        <v>0.8447</v>
      </c>
      <c r="I2" s="61">
        <f>'Por año'!I5</f>
        <v>7.15</v>
      </c>
    </row>
    <row r="3">
      <c r="A3" s="61" t="str">
        <f>'Por año'!A24</f>
        <v>23-24</v>
      </c>
      <c r="B3" s="61" t="str">
        <f>'Por año'!B24</f>
        <v>Inglés</v>
      </c>
      <c r="C3" s="20">
        <f>'Por año'!C24</f>
        <v>44</v>
      </c>
      <c r="D3" s="61" t="str">
        <f t="shared" si="1"/>
        <v>23-24(44)</v>
      </c>
      <c r="E3" s="21">
        <f>'Por año'!E24</f>
        <v>0.6444</v>
      </c>
      <c r="F3" s="61">
        <f>'Por año'!F24</f>
        <v>5.85</v>
      </c>
      <c r="G3" s="61">
        <f>'Por año'!G24</f>
        <v>7</v>
      </c>
      <c r="H3" s="21">
        <f>'Por año'!H24</f>
        <v>0.8231</v>
      </c>
      <c r="I3" s="61">
        <f>'Por año'!I24</f>
        <v>6.84</v>
      </c>
    </row>
    <row r="4">
      <c r="A4" s="61" t="str">
        <f>'Por año'!A43</f>
        <v>22-23</v>
      </c>
      <c r="B4" s="61" t="str">
        <f>'Por año'!B43</f>
        <v>Inglés</v>
      </c>
      <c r="C4" s="20">
        <f>'Por año'!C43</f>
        <v>43</v>
      </c>
      <c r="D4" s="61" t="str">
        <f t="shared" si="1"/>
        <v>22-23(43)</v>
      </c>
      <c r="E4" s="21">
        <f>'Por año'!E43</f>
        <v>0.7556</v>
      </c>
      <c r="F4" s="61">
        <f>'Por año'!F43</f>
        <v>6.55</v>
      </c>
      <c r="G4" s="61">
        <f>'Por año'!G43</f>
        <v>6.84</v>
      </c>
      <c r="H4" s="21">
        <f>'Por año'!H43</f>
        <v>0.8713</v>
      </c>
      <c r="I4" s="61">
        <f>'Por año'!I43</f>
        <v>7.28</v>
      </c>
    </row>
    <row r="5">
      <c r="A5" s="61" t="str">
        <f>'Por año'!A62</f>
        <v>21-22</v>
      </c>
      <c r="B5" s="61" t="str">
        <f>'Por año'!B62</f>
        <v>Inglés</v>
      </c>
      <c r="C5" s="20">
        <f>'Por año'!C62</f>
        <v>48</v>
      </c>
      <c r="D5" s="61" t="str">
        <f t="shared" si="1"/>
        <v>21-22(48)</v>
      </c>
      <c r="E5" s="21">
        <f>'Por año'!E62</f>
        <v>0.5918</v>
      </c>
      <c r="F5" s="61">
        <f>'Por año'!F62</f>
        <v>5.6</v>
      </c>
      <c r="G5" s="61">
        <f>'Por año'!G62</f>
        <v>7</v>
      </c>
      <c r="H5" s="21">
        <f>'Por año'!H62</f>
        <v>0.7533</v>
      </c>
      <c r="I5" s="61">
        <f>'Por año'!I62</f>
        <v>6.35</v>
      </c>
    </row>
    <row r="6">
      <c r="A6" s="61" t="str">
        <f>'Por año'!A81</f>
        <v>20-21</v>
      </c>
      <c r="B6" s="61" t="str">
        <f>'Por año'!B81</f>
        <v>Inglés</v>
      </c>
      <c r="C6" s="20">
        <f>'Por año'!C81</f>
        <v>49</v>
      </c>
      <c r="D6" s="61" t="str">
        <f t="shared" si="1"/>
        <v>20-21(49)</v>
      </c>
      <c r="E6" s="21">
        <f>'Por año'!E81</f>
        <v>0.5918</v>
      </c>
      <c r="F6" s="61">
        <f>'Por año'!F81</f>
        <v>5.28</v>
      </c>
      <c r="G6" s="61">
        <f>'Por año'!G81</f>
        <v>6.51</v>
      </c>
      <c r="H6" s="21">
        <f>'Por año'!H81</f>
        <v>0.7798</v>
      </c>
      <c r="I6" s="61">
        <f>'Por año'!I81</f>
        <v>6.48</v>
      </c>
    </row>
    <row r="7">
      <c r="A7" s="61" t="str">
        <f>'Por año'!A100</f>
        <v>19-20</v>
      </c>
      <c r="B7" s="61" t="str">
        <f>'Por año'!B100</f>
        <v>Inglés</v>
      </c>
      <c r="C7" s="20">
        <f>'Por año'!C100</f>
        <v>50</v>
      </c>
      <c r="D7" s="61" t="str">
        <f t="shared" si="1"/>
        <v>19-20(50)</v>
      </c>
      <c r="E7" s="21">
        <f>'Por año'!E100</f>
        <v>0.8</v>
      </c>
      <c r="F7" s="61">
        <f>'Por año'!F100</f>
        <v>6.86</v>
      </c>
      <c r="G7" s="61">
        <f>'Por año'!G100</f>
        <v>8.08</v>
      </c>
      <c r="H7" s="21">
        <f>'Por año'!H100</f>
        <v>0.7849</v>
      </c>
      <c r="I7" s="61">
        <f>'Por año'!I100</f>
        <v>6.701</v>
      </c>
    </row>
    <row r="8">
      <c r="A8" s="61" t="str">
        <f>'Por año'!A119</f>
        <v>18-19</v>
      </c>
      <c r="B8" s="61" t="str">
        <f>'Por año'!B119</f>
        <v>Inglés</v>
      </c>
      <c r="C8" s="20">
        <f>'Por año'!C119</f>
        <v>36</v>
      </c>
      <c r="D8" s="61" t="str">
        <f t="shared" si="1"/>
        <v>18-19(36)</v>
      </c>
      <c r="E8" s="21">
        <f>'Por año'!E119</f>
        <v>0.8056</v>
      </c>
      <c r="F8" s="61">
        <f>'Por año'!F119</f>
        <v>6.472</v>
      </c>
      <c r="G8" s="61">
        <f>'Por año'!G119</f>
        <v>6.6</v>
      </c>
      <c r="H8" s="21">
        <f>'Por año'!H119</f>
        <v>0.8045</v>
      </c>
      <c r="I8" s="61">
        <f>'Por año'!I119</f>
        <v>6.782</v>
      </c>
    </row>
    <row r="9">
      <c r="A9" s="61" t="str">
        <f>'Por año'!A138</f>
        <v>17-18</v>
      </c>
      <c r="B9" s="61" t="str">
        <f>'Por año'!B138</f>
        <v>Inglés</v>
      </c>
      <c r="C9" s="20">
        <f>'Por año'!C138</f>
        <v>31</v>
      </c>
      <c r="D9" s="61" t="str">
        <f t="shared" si="1"/>
        <v>17-18(31)</v>
      </c>
      <c r="E9" s="21">
        <f>'Por año'!E138</f>
        <v>0.7419</v>
      </c>
      <c r="F9" s="61">
        <f>'Por año'!F138</f>
        <v>6.661</v>
      </c>
      <c r="G9" s="61">
        <f>'Por año'!G138</f>
        <v>6.62</v>
      </c>
      <c r="H9" s="21">
        <f>'Por año'!H138</f>
        <v>0.779</v>
      </c>
      <c r="I9" s="61">
        <f>'Por año'!I138</f>
        <v>6.57</v>
      </c>
    </row>
    <row r="10">
      <c r="A10" s="61" t="str">
        <f>'Por año'!A157</f>
        <v>16-17</v>
      </c>
      <c r="B10" s="61" t="str">
        <f>'Por año'!B157</f>
        <v>Inglés</v>
      </c>
      <c r="C10" s="20">
        <f>'Por año'!C157</f>
        <v>35</v>
      </c>
      <c r="D10" s="61" t="str">
        <f t="shared" si="1"/>
        <v>16-17(35)</v>
      </c>
      <c r="E10" s="21">
        <f>'Por año'!E157</f>
        <v>0.8286</v>
      </c>
      <c r="F10" s="61">
        <f>'Por año'!F157</f>
        <v>6.043</v>
      </c>
      <c r="G10" s="61">
        <f>'Por año'!G157</f>
        <v>6.73</v>
      </c>
      <c r="H10" s="21">
        <f>'Por año'!H157</f>
        <v>0.7648</v>
      </c>
      <c r="I10" s="61">
        <f>'Por año'!I157</f>
        <v>6.521</v>
      </c>
    </row>
    <row r="11">
      <c r="I11" s="61">
        <f>'Por año'!I170</f>
        <v>5.97</v>
      </c>
      <c r="J11" s="61" t="str">
        <f>'Por año'!K170</f>
        <v/>
      </c>
    </row>
    <row r="12">
      <c r="A12" s="61" t="str">
        <f>'Por año'!A172</f>
        <v/>
      </c>
      <c r="B12" s="61" t="str">
        <f>'Por año'!B172</f>
        <v/>
      </c>
      <c r="C12" s="20" t="str">
        <f>'Por año'!C172</f>
        <v/>
      </c>
      <c r="E12" s="61" t="str">
        <f>'Por año'!E172</f>
        <v/>
      </c>
      <c r="F12" s="61" t="str">
        <f>'Por año'!F172</f>
        <v/>
      </c>
      <c r="H12" s="21" t="str">
        <f>'Por año'!H172</f>
        <v/>
      </c>
      <c r="I12" s="61" t="str">
        <f>'Por año'!I172</f>
        <v/>
      </c>
      <c r="J12" s="61" t="str">
        <f>'Por año'!K172</f>
        <v/>
      </c>
    </row>
    <row r="13">
      <c r="A13" s="61" t="str">
        <f>'Por año'!A173</f>
        <v/>
      </c>
      <c r="B13" s="61" t="str">
        <f>'Por año'!B173</f>
        <v/>
      </c>
      <c r="C13" s="20" t="str">
        <f>'Por año'!C173</f>
        <v/>
      </c>
      <c r="E13" s="61" t="str">
        <f>'Por año'!E173</f>
        <v/>
      </c>
      <c r="F13" s="61" t="str">
        <f>'Por año'!F173</f>
        <v/>
      </c>
      <c r="H13" s="21" t="str">
        <f>'Por año'!H173</f>
        <v/>
      </c>
      <c r="I13" s="61" t="str">
        <f>'Por año'!I173</f>
        <v/>
      </c>
      <c r="J13" s="61" t="str">
        <f>'Por año'!K173</f>
        <v/>
      </c>
    </row>
    <row r="14">
      <c r="A14" s="61" t="str">
        <f>'Por año'!A174</f>
        <v/>
      </c>
      <c r="B14" s="61" t="str">
        <f>'Por año'!B174</f>
        <v/>
      </c>
      <c r="C14" s="20" t="str">
        <f>'Por año'!C174</f>
        <v/>
      </c>
      <c r="E14" s="61" t="str">
        <f>'Por año'!E174</f>
        <v/>
      </c>
      <c r="F14" s="61" t="str">
        <f>'Por año'!F174</f>
        <v/>
      </c>
      <c r="H14" s="21" t="str">
        <f>'Por año'!H174</f>
        <v/>
      </c>
      <c r="I14" s="61" t="str">
        <f>'Por año'!I174</f>
        <v/>
      </c>
      <c r="J14" s="61" t="str">
        <f>'Por año'!K174</f>
        <v/>
      </c>
    </row>
    <row r="15">
      <c r="A15" s="61" t="str">
        <f>'Por año'!A175</f>
        <v/>
      </c>
      <c r="B15" s="61" t="str">
        <f>'Por año'!B175</f>
        <v/>
      </c>
      <c r="C15" s="20" t="str">
        <f>'Por año'!C175</f>
        <v/>
      </c>
      <c r="E15" s="61" t="str">
        <f>'Por año'!E175</f>
        <v/>
      </c>
      <c r="F15" s="61" t="str">
        <f>'Por año'!F175</f>
        <v/>
      </c>
      <c r="H15" s="21" t="str">
        <f>'Por año'!H175</f>
        <v/>
      </c>
      <c r="I15" s="61" t="str">
        <f>'Por año'!I175</f>
        <v/>
      </c>
      <c r="J15" s="61" t="str">
        <f>'Por año'!K175</f>
        <v/>
      </c>
    </row>
    <row r="16">
      <c r="A16" s="61" t="str">
        <f>'Por año'!A176</f>
        <v/>
      </c>
      <c r="B16" s="61" t="str">
        <f>'Por año'!B176</f>
        <v/>
      </c>
      <c r="C16" s="20" t="str">
        <f>'Por año'!C176</f>
        <v/>
      </c>
      <c r="E16" s="61" t="str">
        <f>'Por año'!E176</f>
        <v/>
      </c>
      <c r="F16" s="61" t="str">
        <f>'Por año'!F176</f>
        <v/>
      </c>
      <c r="H16" s="21" t="str">
        <f>'Por año'!H176</f>
        <v/>
      </c>
      <c r="I16" s="61" t="str">
        <f>'Por año'!I176</f>
        <v/>
      </c>
      <c r="J16" s="61" t="str">
        <f>'Por año'!K176</f>
        <v/>
      </c>
    </row>
    <row r="17">
      <c r="A17" s="61" t="str">
        <f>'Por año'!A177</f>
        <v/>
      </c>
      <c r="B17" s="61" t="str">
        <f>'Por año'!B177</f>
        <v/>
      </c>
      <c r="C17" s="20" t="str">
        <f>'Por año'!C177</f>
        <v/>
      </c>
      <c r="E17" s="61" t="str">
        <f>'Por año'!E177</f>
        <v/>
      </c>
      <c r="F17" s="61" t="str">
        <f>'Por año'!F177</f>
        <v/>
      </c>
      <c r="H17" s="21" t="str">
        <f>'Por año'!H177</f>
        <v/>
      </c>
      <c r="I17" s="61" t="str">
        <f>'Por año'!I177</f>
        <v/>
      </c>
      <c r="J17" s="61" t="str">
        <f>'Por año'!K177</f>
        <v/>
      </c>
    </row>
    <row r="18">
      <c r="A18" s="61" t="str">
        <f>'Por año'!A178</f>
        <v/>
      </c>
      <c r="B18" s="61" t="str">
        <f>'Por año'!B178</f>
        <v/>
      </c>
      <c r="C18" s="20" t="str">
        <f>'Por año'!C178</f>
        <v/>
      </c>
      <c r="E18" s="61" t="str">
        <f>'Por año'!E178</f>
        <v/>
      </c>
      <c r="F18" s="61" t="str">
        <f>'Por año'!F178</f>
        <v/>
      </c>
      <c r="H18" s="21" t="str">
        <f>'Por año'!H178</f>
        <v/>
      </c>
      <c r="I18" s="61" t="str">
        <f>'Por año'!I178</f>
        <v/>
      </c>
      <c r="J18" s="61" t="str">
        <f>'Por año'!K178</f>
        <v/>
      </c>
    </row>
    <row r="19">
      <c r="A19" s="61" t="str">
        <f>'Por año'!A179</f>
        <v/>
      </c>
      <c r="B19" s="61" t="str">
        <f>'Por año'!B179</f>
        <v/>
      </c>
      <c r="C19" s="20" t="str">
        <f>'Por año'!C179</f>
        <v/>
      </c>
      <c r="E19" s="61" t="str">
        <f>'Por año'!E179</f>
        <v/>
      </c>
      <c r="F19" s="61" t="str">
        <f>'Por año'!F179</f>
        <v/>
      </c>
      <c r="H19" s="21" t="str">
        <f>'Por año'!H179</f>
        <v/>
      </c>
      <c r="I19" s="61" t="str">
        <f>'Por año'!I179</f>
        <v/>
      </c>
      <c r="J19" s="61" t="str">
        <f>'Por año'!K179</f>
        <v/>
      </c>
    </row>
    <row r="20">
      <c r="A20" s="61" t="str">
        <f>'Por año'!A180</f>
        <v/>
      </c>
      <c r="B20" s="61" t="str">
        <f>'Por año'!B180</f>
        <v/>
      </c>
      <c r="C20" s="20" t="str">
        <f>'Por año'!C180</f>
        <v/>
      </c>
      <c r="E20" s="61" t="str">
        <f>'Por año'!E180</f>
        <v/>
      </c>
      <c r="F20" s="61" t="str">
        <f>'Por año'!F180</f>
        <v/>
      </c>
      <c r="H20" s="21" t="str">
        <f>'Por año'!H180</f>
        <v/>
      </c>
      <c r="I20" s="61" t="str">
        <f>'Por año'!I180</f>
        <v/>
      </c>
      <c r="J20" s="61" t="str">
        <f>'Por año'!K180</f>
        <v/>
      </c>
    </row>
    <row r="21">
      <c r="A21" s="61" t="str">
        <f>'Por año'!A181</f>
        <v/>
      </c>
      <c r="B21" s="61" t="str">
        <f>'Por año'!B181</f>
        <v/>
      </c>
      <c r="C21" s="20" t="str">
        <f>'Por año'!C181</f>
        <v/>
      </c>
      <c r="E21" s="61" t="str">
        <f>'Por año'!E181</f>
        <v/>
      </c>
      <c r="F21" s="61" t="str">
        <f>'Por año'!F181</f>
        <v/>
      </c>
      <c r="H21" s="21" t="str">
        <f>'Por año'!H181</f>
        <v/>
      </c>
      <c r="I21" s="61" t="str">
        <f>'Por año'!I181</f>
        <v/>
      </c>
      <c r="J21" s="61" t="str">
        <f>'Por año'!K181</f>
        <v/>
      </c>
    </row>
    <row r="22">
      <c r="A22" s="61" t="str">
        <f>'Por año'!A182</f>
        <v/>
      </c>
      <c r="B22" s="61" t="str">
        <f>'Por año'!B182</f>
        <v/>
      </c>
      <c r="C22" s="20" t="str">
        <f>'Por año'!C182</f>
        <v/>
      </c>
      <c r="E22" s="61" t="str">
        <f>'Por año'!E182</f>
        <v/>
      </c>
      <c r="F22" s="61" t="str">
        <f>'Por año'!F182</f>
        <v/>
      </c>
      <c r="H22" s="21" t="str">
        <f>'Por año'!H182</f>
        <v/>
      </c>
      <c r="I22" s="61" t="str">
        <f>'Por año'!I182</f>
        <v/>
      </c>
      <c r="J22" s="61" t="str">
        <f>'Por año'!K182</f>
        <v/>
      </c>
    </row>
    <row r="23">
      <c r="A23" s="61" t="str">
        <f>'Por año'!A183</f>
        <v/>
      </c>
      <c r="B23" s="61" t="str">
        <f>'Por año'!B183</f>
        <v/>
      </c>
      <c r="C23" s="20" t="str">
        <f>'Por año'!C183</f>
        <v/>
      </c>
      <c r="E23" s="61" t="str">
        <f>'Por año'!E183</f>
        <v/>
      </c>
      <c r="F23" s="61" t="str">
        <f>'Por año'!F183</f>
        <v/>
      </c>
      <c r="H23" s="21" t="str">
        <f>'Por año'!H183</f>
        <v/>
      </c>
      <c r="I23" s="61" t="str">
        <f>'Por año'!I183</f>
        <v/>
      </c>
      <c r="J23" s="61" t="str">
        <f>'Por año'!K183</f>
        <v/>
      </c>
    </row>
    <row r="24">
      <c r="A24" s="61" t="str">
        <f>'Por año'!A184</f>
        <v/>
      </c>
      <c r="B24" s="61" t="str">
        <f>'Por año'!B184</f>
        <v/>
      </c>
      <c r="C24" s="20" t="str">
        <f>'Por año'!C184</f>
        <v/>
      </c>
      <c r="E24" s="61" t="str">
        <f>'Por año'!E184</f>
        <v/>
      </c>
      <c r="F24" s="61" t="str">
        <f>'Por año'!F184</f>
        <v/>
      </c>
      <c r="H24" s="21" t="str">
        <f>'Por año'!H184</f>
        <v/>
      </c>
      <c r="I24" s="61" t="str">
        <f>'Por año'!I184</f>
        <v/>
      </c>
      <c r="J24" s="61" t="str">
        <f>'Por año'!K184</f>
        <v/>
      </c>
    </row>
    <row r="25">
      <c r="A25" s="61" t="str">
        <f>'Por año'!A185</f>
        <v/>
      </c>
      <c r="B25" s="61" t="str">
        <f>'Por año'!B185</f>
        <v/>
      </c>
      <c r="C25" s="20" t="str">
        <f>'Por año'!C185</f>
        <v/>
      </c>
      <c r="E25" s="61" t="str">
        <f>'Por año'!E185</f>
        <v/>
      </c>
      <c r="F25" s="61" t="str">
        <f>'Por año'!F185</f>
        <v/>
      </c>
      <c r="H25" s="21" t="str">
        <f>'Por año'!H185</f>
        <v/>
      </c>
      <c r="I25" s="61" t="str">
        <f>'Por año'!I185</f>
        <v/>
      </c>
      <c r="J25" s="61" t="str">
        <f>'Por año'!K185</f>
        <v/>
      </c>
    </row>
    <row r="26">
      <c r="A26" s="61" t="str">
        <f>'Por año'!A186</f>
        <v/>
      </c>
      <c r="B26" s="61" t="str">
        <f>'Por año'!B186</f>
        <v/>
      </c>
      <c r="C26" s="20" t="str">
        <f>'Por año'!C186</f>
        <v/>
      </c>
      <c r="E26" s="61" t="str">
        <f>'Por año'!E186</f>
        <v/>
      </c>
      <c r="F26" s="61" t="str">
        <f>'Por año'!F186</f>
        <v/>
      </c>
      <c r="H26" s="21" t="str">
        <f>'Por año'!H186</f>
        <v/>
      </c>
      <c r="I26" s="61" t="str">
        <f>'Por año'!I186</f>
        <v/>
      </c>
      <c r="J26" s="61" t="str">
        <f>'Por año'!K186</f>
        <v/>
      </c>
    </row>
    <row r="27">
      <c r="A27" s="61" t="str">
        <f>'Por año'!A187</f>
        <v/>
      </c>
      <c r="B27" s="61" t="str">
        <f>'Por año'!B187</f>
        <v/>
      </c>
      <c r="C27" s="20" t="str">
        <f>'Por año'!C187</f>
        <v/>
      </c>
      <c r="E27" s="61" t="str">
        <f>'Por año'!E187</f>
        <v/>
      </c>
      <c r="F27" s="61" t="str">
        <f>'Por año'!F187</f>
        <v/>
      </c>
      <c r="H27" s="21" t="str">
        <f>'Por año'!H187</f>
        <v/>
      </c>
      <c r="I27" s="61" t="str">
        <f>'Por año'!I187</f>
        <v/>
      </c>
      <c r="J27" s="61" t="str">
        <f>'Por año'!K187</f>
        <v/>
      </c>
    </row>
    <row r="28">
      <c r="A28" s="61" t="str">
        <f>'Por año'!A188</f>
        <v/>
      </c>
      <c r="B28" s="61" t="str">
        <f>'Por año'!B188</f>
        <v/>
      </c>
      <c r="C28" s="20" t="str">
        <f>'Por año'!C188</f>
        <v/>
      </c>
      <c r="E28" s="61" t="str">
        <f>'Por año'!E188</f>
        <v/>
      </c>
      <c r="F28" s="61" t="str">
        <f>'Por año'!F188</f>
        <v/>
      </c>
      <c r="H28" s="21" t="str">
        <f>'Por año'!H188</f>
        <v/>
      </c>
      <c r="I28" s="61" t="str">
        <f>'Por año'!I188</f>
        <v/>
      </c>
      <c r="J28" s="61" t="str">
        <f>'Por año'!K188</f>
        <v/>
      </c>
    </row>
    <row r="29">
      <c r="A29" s="61" t="str">
        <f>'Por año'!A189</f>
        <v/>
      </c>
      <c r="B29" s="61" t="str">
        <f>'Por año'!B189</f>
        <v/>
      </c>
      <c r="C29" s="20" t="str">
        <f>'Por año'!C189</f>
        <v/>
      </c>
      <c r="E29" s="61" t="str">
        <f>'Por año'!E189</f>
        <v/>
      </c>
      <c r="F29" s="61" t="str">
        <f>'Por año'!F189</f>
        <v/>
      </c>
      <c r="H29" s="21" t="str">
        <f>'Por año'!H189</f>
        <v/>
      </c>
      <c r="I29" s="61" t="str">
        <f>'Por año'!I189</f>
        <v/>
      </c>
      <c r="J29" s="61" t="str">
        <f>'Por año'!K189</f>
        <v/>
      </c>
    </row>
    <row r="30">
      <c r="A30" s="61" t="str">
        <f>'Por año'!A190</f>
        <v/>
      </c>
      <c r="B30" s="61" t="str">
        <f>'Por año'!B190</f>
        <v/>
      </c>
      <c r="C30" s="20" t="str">
        <f>'Por año'!C190</f>
        <v/>
      </c>
      <c r="E30" s="61" t="str">
        <f>'Por año'!E190</f>
        <v/>
      </c>
      <c r="F30" s="61" t="str">
        <f>'Por año'!F190</f>
        <v/>
      </c>
      <c r="H30" s="21" t="str">
        <f>'Por año'!H190</f>
        <v/>
      </c>
      <c r="I30" s="61" t="str">
        <f>'Por año'!I190</f>
        <v/>
      </c>
      <c r="J30" s="61" t="str">
        <f>'Por año'!K190</f>
        <v/>
      </c>
    </row>
    <row r="31">
      <c r="A31" s="61" t="str">
        <f>'Por año'!A191</f>
        <v/>
      </c>
      <c r="B31" s="61" t="str">
        <f>'Por año'!B191</f>
        <v/>
      </c>
      <c r="C31" s="20" t="str">
        <f>'Por año'!C191</f>
        <v/>
      </c>
      <c r="E31" s="61" t="str">
        <f>'Por año'!E191</f>
        <v/>
      </c>
      <c r="F31" s="61" t="str">
        <f>'Por año'!F191</f>
        <v/>
      </c>
      <c r="H31" s="21" t="str">
        <f>'Por año'!H191</f>
        <v/>
      </c>
      <c r="I31" s="61" t="str">
        <f>'Por año'!I191</f>
        <v/>
      </c>
      <c r="J31" s="61" t="str">
        <f>'Por año'!K191</f>
        <v/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6.5"/>
    <col customWidth="1" min="3" max="3" width="3.0"/>
    <col customWidth="1" min="4" max="4" width="9.63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año'!A6</f>
        <v>24-25</v>
      </c>
      <c r="B2" s="61" t="str">
        <f>'Por año'!B6</f>
        <v>Historia</v>
      </c>
      <c r="C2" s="20">
        <f>'Por año'!C6</f>
        <v>9</v>
      </c>
      <c r="D2" s="61" t="str">
        <f t="shared" ref="D2:D10" si="1">CONCATENATE(A2,"(",C2,")")</f>
        <v>24-25(9)</v>
      </c>
      <c r="E2" s="21">
        <f>'Por año'!E6</f>
        <v>0.6667</v>
      </c>
      <c r="F2" s="61">
        <f>'Por año'!F6</f>
        <v>5.89</v>
      </c>
      <c r="G2" s="61">
        <f>'Por año'!G6</f>
        <v>6.59</v>
      </c>
      <c r="H2" s="21">
        <f>'Por año'!H6</f>
        <v>0.8244</v>
      </c>
      <c r="I2" s="61">
        <f>'Por año'!I6</f>
        <v>6.91</v>
      </c>
    </row>
    <row r="3">
      <c r="A3" s="61" t="str">
        <f>'Por año'!A25</f>
        <v>23-24</v>
      </c>
      <c r="B3" s="61" t="str">
        <f>'Por año'!B25</f>
        <v>Historia</v>
      </c>
      <c r="C3" s="20">
        <f>'Por año'!C25</f>
        <v>18</v>
      </c>
      <c r="D3" s="61" t="str">
        <f t="shared" si="1"/>
        <v>23-24(18)</v>
      </c>
      <c r="E3" s="21">
        <f>'Por año'!E25</f>
        <v>0.5789</v>
      </c>
      <c r="F3" s="61">
        <f>'Por año'!F25</f>
        <v>5.55</v>
      </c>
      <c r="G3" s="61">
        <f>'Por año'!G25</f>
        <v>6.92</v>
      </c>
      <c r="H3" s="21">
        <f>'Por año'!H25</f>
        <v>0.7864</v>
      </c>
      <c r="I3" s="61">
        <f>'Por año'!I25</f>
        <v>6.68</v>
      </c>
    </row>
    <row r="4">
      <c r="A4" s="61" t="str">
        <f>'Por año'!A44</f>
        <v>22-23</v>
      </c>
      <c r="B4" s="61" t="str">
        <f>'Por año'!B44</f>
        <v>Historia</v>
      </c>
      <c r="C4" s="20">
        <f>'Por año'!C44</f>
        <v>43</v>
      </c>
      <c r="D4" s="61" t="str">
        <f t="shared" si="1"/>
        <v>22-23(43)</v>
      </c>
      <c r="E4" s="21">
        <f>'Por año'!E44</f>
        <v>0.7111</v>
      </c>
      <c r="F4" s="61">
        <f>'Por año'!F44</f>
        <v>6.31</v>
      </c>
      <c r="G4" s="61">
        <f>'Por año'!G44</f>
        <v>7.3</v>
      </c>
      <c r="H4" s="21">
        <f>'Por año'!H44</f>
        <v>0.7989</v>
      </c>
      <c r="I4" s="61">
        <f>'Por año'!I44</f>
        <v>6.73</v>
      </c>
    </row>
    <row r="5">
      <c r="A5" s="61" t="str">
        <f>'Por año'!A63</f>
        <v>21-22</v>
      </c>
      <c r="B5" s="61" t="str">
        <f>'Por año'!B63</f>
        <v>Historia</v>
      </c>
      <c r="C5" s="20">
        <f>'Por año'!C63</f>
        <v>48</v>
      </c>
      <c r="D5" s="61" t="str">
        <f t="shared" si="1"/>
        <v>21-22(48)</v>
      </c>
      <c r="E5" s="21">
        <f>'Por año'!E63</f>
        <v>0.6531</v>
      </c>
      <c r="F5" s="61">
        <f>'Por año'!F63</f>
        <v>5.89</v>
      </c>
      <c r="G5" s="61">
        <f>'Por año'!G63</f>
        <v>7.3</v>
      </c>
      <c r="H5" s="21">
        <f>'Por año'!H63</f>
        <v>0.7466</v>
      </c>
      <c r="I5" s="61">
        <f>'Por año'!I63</f>
        <v>6.49</v>
      </c>
    </row>
    <row r="6">
      <c r="A6" s="61" t="str">
        <f>'Por año'!A82</f>
        <v>20-21</v>
      </c>
      <c r="B6" s="61" t="str">
        <f>'Por año'!B82</f>
        <v>Historia</v>
      </c>
      <c r="C6" s="20">
        <f>'Por año'!C82</f>
        <v>49</v>
      </c>
      <c r="D6" s="61" t="str">
        <f t="shared" si="1"/>
        <v>20-21(49)</v>
      </c>
      <c r="E6" s="21">
        <f>'Por año'!E82</f>
        <v>0.6735</v>
      </c>
      <c r="F6" s="61">
        <f>'Por año'!F82</f>
        <v>5.97</v>
      </c>
      <c r="G6" s="61">
        <f>'Por año'!G82</f>
        <v>6.94</v>
      </c>
      <c r="H6" s="21">
        <f>'Por año'!H82</f>
        <v>0.7692</v>
      </c>
      <c r="I6" s="61">
        <f>'Por año'!I82</f>
        <v>6.61</v>
      </c>
    </row>
    <row r="7">
      <c r="A7" s="61" t="str">
        <f>'Por año'!A101</f>
        <v>19-20</v>
      </c>
      <c r="B7" s="61" t="str">
        <f>'Por año'!B101</f>
        <v>Historia</v>
      </c>
      <c r="C7" s="20">
        <f>'Por año'!C101</f>
        <v>50</v>
      </c>
      <c r="D7" s="61" t="str">
        <f t="shared" si="1"/>
        <v>19-20(50)</v>
      </c>
      <c r="E7" s="21">
        <f>'Por año'!E101</f>
        <v>0.6</v>
      </c>
      <c r="F7" s="61">
        <f>'Por año'!F101</f>
        <v>5.64</v>
      </c>
      <c r="G7" s="61">
        <f>'Por año'!G101</f>
        <v>8.33</v>
      </c>
      <c r="H7" s="21">
        <f>'Por año'!H101</f>
        <v>0.6981</v>
      </c>
      <c r="I7" s="61">
        <f>'Por año'!I101</f>
        <v>6.089</v>
      </c>
    </row>
    <row r="8">
      <c r="A8" s="61" t="str">
        <f>'Por año'!A120</f>
        <v>18-19</v>
      </c>
      <c r="B8" s="61" t="str">
        <f>'Por año'!B120</f>
        <v>Historia</v>
      </c>
      <c r="C8" s="20">
        <f>'Por año'!C120</f>
        <v>36</v>
      </c>
      <c r="D8" s="61" t="str">
        <f t="shared" si="1"/>
        <v>18-19(36)</v>
      </c>
      <c r="E8" s="21">
        <f>'Por año'!E120</f>
        <v>0.5833</v>
      </c>
      <c r="F8" s="61">
        <f>'Por año'!F120</f>
        <v>5.819</v>
      </c>
      <c r="G8" s="61">
        <f>'Por año'!G120</f>
        <v>7.07</v>
      </c>
      <c r="H8" s="21">
        <f>'Por año'!H120</f>
        <v>0.6415</v>
      </c>
      <c r="I8" s="61">
        <f>'Por año'!I120</f>
        <v>5.752</v>
      </c>
    </row>
    <row r="9">
      <c r="A9" s="61" t="str">
        <f>'Por año'!A139</f>
        <v>17-18</v>
      </c>
      <c r="B9" s="61" t="str">
        <f>'Por año'!B139</f>
        <v>Historia</v>
      </c>
      <c r="C9" s="20">
        <f>'Por año'!C139</f>
        <v>31</v>
      </c>
      <c r="D9" s="61" t="str">
        <f t="shared" si="1"/>
        <v>17-18(31)</v>
      </c>
      <c r="E9" s="21">
        <f>'Por año'!E139</f>
        <v>0.7097</v>
      </c>
      <c r="F9" s="61">
        <f>'Por año'!F139</f>
        <v>5.661</v>
      </c>
      <c r="G9" s="61">
        <f>'Por año'!G139</f>
        <v>7.15</v>
      </c>
      <c r="H9" s="21">
        <f>'Por año'!H139</f>
        <v>0.6754</v>
      </c>
      <c r="I9" s="61">
        <f>'Por año'!I139</f>
        <v>5.88</v>
      </c>
    </row>
    <row r="10">
      <c r="A10" s="61" t="str">
        <f>'Por año'!A158</f>
        <v>16-17</v>
      </c>
      <c r="B10" s="61" t="str">
        <f>'Por año'!B158</f>
        <v>Historia</v>
      </c>
      <c r="C10" s="20">
        <f>'Por año'!C158</f>
        <v>35</v>
      </c>
      <c r="D10" s="61" t="str">
        <f t="shared" si="1"/>
        <v>16-17(35)</v>
      </c>
      <c r="E10" s="21">
        <f>'Por año'!E158</f>
        <v>0.6571</v>
      </c>
      <c r="F10" s="61">
        <f>'Por año'!F158</f>
        <v>5.421</v>
      </c>
      <c r="G10" s="61">
        <f>'Por año'!G158</f>
        <v>6.95</v>
      </c>
      <c r="H10" s="21">
        <f>'Por año'!H158</f>
        <v>0.6388</v>
      </c>
      <c r="I10" s="61">
        <f>'Por año'!I158</f>
        <v>5.642</v>
      </c>
    </row>
    <row r="11">
      <c r="H11" s="21">
        <f>'Por año'!H170</f>
        <v>0.8896</v>
      </c>
      <c r="I11" s="61">
        <f>'Por año'!I170</f>
        <v>5.97</v>
      </c>
      <c r="J11" s="61" t="str">
        <f>'Por año'!K170</f>
        <v/>
      </c>
    </row>
    <row r="12">
      <c r="A12" s="61" t="str">
        <f>'Por año'!A172</f>
        <v/>
      </c>
      <c r="B12" s="61" t="str">
        <f>'Por año'!B172</f>
        <v/>
      </c>
      <c r="C12" s="20" t="str">
        <f>'Por año'!C172</f>
        <v/>
      </c>
      <c r="E12" s="61" t="str">
        <f>'Por año'!E172</f>
        <v/>
      </c>
      <c r="F12" s="61" t="str">
        <f>'Por año'!F172</f>
        <v/>
      </c>
      <c r="H12" s="21" t="str">
        <f>'Por año'!H172</f>
        <v/>
      </c>
      <c r="I12" s="61" t="str">
        <f>'Por año'!I172</f>
        <v/>
      </c>
      <c r="J12" s="61" t="str">
        <f>'Por año'!K172</f>
        <v/>
      </c>
    </row>
    <row r="13">
      <c r="A13" s="61" t="str">
        <f>'Por año'!A173</f>
        <v/>
      </c>
      <c r="B13" s="61" t="str">
        <f>'Por año'!B173</f>
        <v/>
      </c>
      <c r="C13" s="20" t="str">
        <f>'Por año'!C173</f>
        <v/>
      </c>
      <c r="E13" s="61" t="str">
        <f>'Por año'!E173</f>
        <v/>
      </c>
      <c r="F13" s="61" t="str">
        <f>'Por año'!F173</f>
        <v/>
      </c>
      <c r="H13" s="21" t="str">
        <f>'Por año'!H173</f>
        <v/>
      </c>
      <c r="I13" s="61" t="str">
        <f>'Por año'!I173</f>
        <v/>
      </c>
      <c r="J13" s="61" t="str">
        <f>'Por año'!K173</f>
        <v/>
      </c>
    </row>
    <row r="14">
      <c r="A14" s="61" t="str">
        <f>'Por año'!A174</f>
        <v/>
      </c>
      <c r="B14" s="61" t="str">
        <f>'Por año'!B174</f>
        <v/>
      </c>
      <c r="C14" s="20" t="str">
        <f>'Por año'!C174</f>
        <v/>
      </c>
      <c r="E14" s="61" t="str">
        <f>'Por año'!E174</f>
        <v/>
      </c>
      <c r="F14" s="61" t="str">
        <f>'Por año'!F174</f>
        <v/>
      </c>
      <c r="H14" s="21" t="str">
        <f>'Por año'!H174</f>
        <v/>
      </c>
      <c r="I14" s="61" t="str">
        <f>'Por año'!I174</f>
        <v/>
      </c>
      <c r="J14" s="61" t="str">
        <f>'Por año'!K174</f>
        <v/>
      </c>
    </row>
    <row r="15">
      <c r="A15" s="61" t="str">
        <f>'Por año'!A175</f>
        <v/>
      </c>
      <c r="B15" s="61" t="str">
        <f>'Por año'!B175</f>
        <v/>
      </c>
      <c r="C15" s="20" t="str">
        <f>'Por año'!C175</f>
        <v/>
      </c>
      <c r="E15" s="61" t="str">
        <f>'Por año'!E175</f>
        <v/>
      </c>
      <c r="F15" s="61" t="str">
        <f>'Por año'!F175</f>
        <v/>
      </c>
      <c r="H15" s="21" t="str">
        <f>'Por año'!H175</f>
        <v/>
      </c>
      <c r="I15" s="61" t="str">
        <f>'Por año'!I175</f>
        <v/>
      </c>
      <c r="J15" s="61" t="str">
        <f>'Por año'!K175</f>
        <v/>
      </c>
    </row>
    <row r="16">
      <c r="A16" s="61" t="str">
        <f>'Por año'!A176</f>
        <v/>
      </c>
      <c r="B16" s="61" t="str">
        <f>'Por año'!B176</f>
        <v/>
      </c>
      <c r="C16" s="20" t="str">
        <f>'Por año'!C176</f>
        <v/>
      </c>
      <c r="E16" s="61" t="str">
        <f>'Por año'!E176</f>
        <v/>
      </c>
      <c r="F16" s="61" t="str">
        <f>'Por año'!F176</f>
        <v/>
      </c>
      <c r="H16" s="21" t="str">
        <f>'Por año'!H176</f>
        <v/>
      </c>
      <c r="I16" s="61" t="str">
        <f>'Por año'!I176</f>
        <v/>
      </c>
      <c r="J16" s="61" t="str">
        <f>'Por año'!K176</f>
        <v/>
      </c>
    </row>
    <row r="17">
      <c r="A17" s="61" t="str">
        <f>'Por año'!A177</f>
        <v/>
      </c>
      <c r="B17" s="61" t="str">
        <f>'Por año'!B177</f>
        <v/>
      </c>
      <c r="C17" s="20" t="str">
        <f>'Por año'!C177</f>
        <v/>
      </c>
      <c r="E17" s="61" t="str">
        <f>'Por año'!E177</f>
        <v/>
      </c>
      <c r="F17" s="61" t="str">
        <f>'Por año'!F177</f>
        <v/>
      </c>
      <c r="H17" s="21" t="str">
        <f>'Por año'!H177</f>
        <v/>
      </c>
      <c r="I17" s="61" t="str">
        <f>'Por año'!I177</f>
        <v/>
      </c>
      <c r="J17" s="61" t="str">
        <f>'Por año'!K177</f>
        <v/>
      </c>
    </row>
    <row r="18">
      <c r="A18" s="61" t="str">
        <f>'Por año'!A178</f>
        <v/>
      </c>
      <c r="B18" s="61" t="str">
        <f>'Por año'!B178</f>
        <v/>
      </c>
      <c r="C18" s="20" t="str">
        <f>'Por año'!C178</f>
        <v/>
      </c>
      <c r="E18" s="61" t="str">
        <f>'Por año'!E178</f>
        <v/>
      </c>
      <c r="F18" s="61" t="str">
        <f>'Por año'!F178</f>
        <v/>
      </c>
      <c r="H18" s="21" t="str">
        <f>'Por año'!H178</f>
        <v/>
      </c>
      <c r="I18" s="61" t="str">
        <f>'Por año'!I178</f>
        <v/>
      </c>
      <c r="J18" s="61" t="str">
        <f>'Por año'!K178</f>
        <v/>
      </c>
    </row>
    <row r="19">
      <c r="A19" s="61" t="str">
        <f>'Por año'!A179</f>
        <v/>
      </c>
      <c r="B19" s="61" t="str">
        <f>'Por año'!B179</f>
        <v/>
      </c>
      <c r="C19" s="20" t="str">
        <f>'Por año'!C179</f>
        <v/>
      </c>
      <c r="E19" s="61" t="str">
        <f>'Por año'!E179</f>
        <v/>
      </c>
      <c r="F19" s="61" t="str">
        <f>'Por año'!F179</f>
        <v/>
      </c>
      <c r="H19" s="21" t="str">
        <f>'Por año'!H179</f>
        <v/>
      </c>
      <c r="I19" s="61" t="str">
        <f>'Por año'!I179</f>
        <v/>
      </c>
      <c r="J19" s="61" t="str">
        <f>'Por año'!K179</f>
        <v/>
      </c>
    </row>
    <row r="20">
      <c r="A20" s="61" t="str">
        <f>'Por año'!A180</f>
        <v/>
      </c>
      <c r="B20" s="61" t="str">
        <f>'Por año'!B180</f>
        <v/>
      </c>
      <c r="C20" s="20" t="str">
        <f>'Por año'!C180</f>
        <v/>
      </c>
      <c r="E20" s="61" t="str">
        <f>'Por año'!E180</f>
        <v/>
      </c>
      <c r="F20" s="61" t="str">
        <f>'Por año'!F180</f>
        <v/>
      </c>
      <c r="H20" s="21" t="str">
        <f>'Por año'!H180</f>
        <v/>
      </c>
      <c r="I20" s="61" t="str">
        <f>'Por año'!I180</f>
        <v/>
      </c>
      <c r="J20" s="61" t="str">
        <f>'Por año'!K180</f>
        <v/>
      </c>
    </row>
    <row r="21">
      <c r="A21" s="61" t="str">
        <f>'Por año'!A181</f>
        <v/>
      </c>
      <c r="B21" s="61" t="str">
        <f>'Por año'!B181</f>
        <v/>
      </c>
      <c r="C21" s="20" t="str">
        <f>'Por año'!C181</f>
        <v/>
      </c>
      <c r="E21" s="61" t="str">
        <f>'Por año'!E181</f>
        <v/>
      </c>
      <c r="F21" s="61" t="str">
        <f>'Por año'!F181</f>
        <v/>
      </c>
      <c r="H21" s="21" t="str">
        <f>'Por año'!H181</f>
        <v/>
      </c>
      <c r="I21" s="61" t="str">
        <f>'Por año'!I181</f>
        <v/>
      </c>
      <c r="J21" s="61" t="str">
        <f>'Por año'!K181</f>
        <v/>
      </c>
    </row>
    <row r="22">
      <c r="A22" s="61" t="str">
        <f>'Por año'!A182</f>
        <v/>
      </c>
      <c r="B22" s="61" t="str">
        <f>'Por año'!B182</f>
        <v/>
      </c>
      <c r="C22" s="20" t="str">
        <f>'Por año'!C182</f>
        <v/>
      </c>
      <c r="E22" s="61" t="str">
        <f>'Por año'!E182</f>
        <v/>
      </c>
      <c r="F22" s="61" t="str">
        <f>'Por año'!F182</f>
        <v/>
      </c>
      <c r="H22" s="21" t="str">
        <f>'Por año'!H182</f>
        <v/>
      </c>
      <c r="I22" s="61" t="str">
        <f>'Por año'!I182</f>
        <v/>
      </c>
      <c r="J22" s="61" t="str">
        <f>'Por año'!K182</f>
        <v/>
      </c>
    </row>
    <row r="23">
      <c r="A23" s="61" t="str">
        <f>'Por año'!A183</f>
        <v/>
      </c>
      <c r="B23" s="61" t="str">
        <f>'Por año'!B183</f>
        <v/>
      </c>
      <c r="C23" s="20" t="str">
        <f>'Por año'!C183</f>
        <v/>
      </c>
      <c r="E23" s="61" t="str">
        <f>'Por año'!E183</f>
        <v/>
      </c>
      <c r="F23" s="61" t="str">
        <f>'Por año'!F183</f>
        <v/>
      </c>
      <c r="H23" s="21" t="str">
        <f>'Por año'!H183</f>
        <v/>
      </c>
      <c r="I23" s="61" t="str">
        <f>'Por año'!I183</f>
        <v/>
      </c>
      <c r="J23" s="61" t="str">
        <f>'Por año'!K183</f>
        <v/>
      </c>
    </row>
    <row r="24">
      <c r="A24" s="61" t="str">
        <f>'Por año'!A184</f>
        <v/>
      </c>
      <c r="B24" s="61" t="str">
        <f>'Por año'!B184</f>
        <v/>
      </c>
      <c r="C24" s="20" t="str">
        <f>'Por año'!C184</f>
        <v/>
      </c>
      <c r="E24" s="61" t="str">
        <f>'Por año'!E184</f>
        <v/>
      </c>
      <c r="F24" s="61" t="str">
        <f>'Por año'!F184</f>
        <v/>
      </c>
      <c r="H24" s="21" t="str">
        <f>'Por año'!H184</f>
        <v/>
      </c>
      <c r="I24" s="61" t="str">
        <f>'Por año'!I184</f>
        <v/>
      </c>
      <c r="J24" s="61" t="str">
        <f>'Por año'!K184</f>
        <v/>
      </c>
    </row>
    <row r="25">
      <c r="A25" s="61" t="str">
        <f>'Por año'!A185</f>
        <v/>
      </c>
      <c r="B25" s="61" t="str">
        <f>'Por año'!B185</f>
        <v/>
      </c>
      <c r="C25" s="20" t="str">
        <f>'Por año'!C185</f>
        <v/>
      </c>
      <c r="E25" s="61" t="str">
        <f>'Por año'!E185</f>
        <v/>
      </c>
      <c r="F25" s="61" t="str">
        <f>'Por año'!F185</f>
        <v/>
      </c>
      <c r="H25" s="21" t="str">
        <f>'Por año'!H185</f>
        <v/>
      </c>
      <c r="I25" s="61" t="str">
        <f>'Por año'!I185</f>
        <v/>
      </c>
      <c r="J25" s="61" t="str">
        <f>'Por año'!K185</f>
        <v/>
      </c>
    </row>
    <row r="26">
      <c r="A26" s="61" t="str">
        <f>'Por año'!A186</f>
        <v/>
      </c>
      <c r="B26" s="61" t="str">
        <f>'Por año'!B186</f>
        <v/>
      </c>
      <c r="C26" s="20" t="str">
        <f>'Por año'!C186</f>
        <v/>
      </c>
      <c r="E26" s="61" t="str">
        <f>'Por año'!E186</f>
        <v/>
      </c>
      <c r="F26" s="61" t="str">
        <f>'Por año'!F186</f>
        <v/>
      </c>
      <c r="H26" s="21" t="str">
        <f>'Por año'!H186</f>
        <v/>
      </c>
      <c r="I26" s="61" t="str">
        <f>'Por año'!I186</f>
        <v/>
      </c>
      <c r="J26" s="61" t="str">
        <f>'Por año'!K186</f>
        <v/>
      </c>
    </row>
    <row r="27">
      <c r="A27" s="61" t="str">
        <f>'Por año'!A187</f>
        <v/>
      </c>
      <c r="B27" s="61" t="str">
        <f>'Por año'!B187</f>
        <v/>
      </c>
      <c r="C27" s="20" t="str">
        <f>'Por año'!C187</f>
        <v/>
      </c>
      <c r="E27" s="61" t="str">
        <f>'Por año'!E187</f>
        <v/>
      </c>
      <c r="F27" s="61" t="str">
        <f>'Por año'!F187</f>
        <v/>
      </c>
      <c r="H27" s="21" t="str">
        <f>'Por año'!H187</f>
        <v/>
      </c>
      <c r="I27" s="61" t="str">
        <f>'Por año'!I187</f>
        <v/>
      </c>
      <c r="J27" s="61" t="str">
        <f>'Por año'!K187</f>
        <v/>
      </c>
    </row>
    <row r="28">
      <c r="A28" s="61" t="str">
        <f>'Por año'!A188</f>
        <v/>
      </c>
      <c r="B28" s="61" t="str">
        <f>'Por año'!B188</f>
        <v/>
      </c>
      <c r="C28" s="20" t="str">
        <f>'Por año'!C188</f>
        <v/>
      </c>
      <c r="E28" s="61" t="str">
        <f>'Por año'!E188</f>
        <v/>
      </c>
      <c r="F28" s="61" t="str">
        <f>'Por año'!F188</f>
        <v/>
      </c>
      <c r="H28" s="21" t="str">
        <f>'Por año'!H188</f>
        <v/>
      </c>
      <c r="I28" s="61" t="str">
        <f>'Por año'!I188</f>
        <v/>
      </c>
      <c r="J28" s="61" t="str">
        <f>'Por año'!K188</f>
        <v/>
      </c>
    </row>
    <row r="29">
      <c r="A29" s="61" t="str">
        <f>'Por año'!A189</f>
        <v/>
      </c>
      <c r="B29" s="61" t="str">
        <f>'Por año'!B189</f>
        <v/>
      </c>
      <c r="C29" s="20" t="str">
        <f>'Por año'!C189</f>
        <v/>
      </c>
      <c r="E29" s="61" t="str">
        <f>'Por año'!E189</f>
        <v/>
      </c>
      <c r="F29" s="61" t="str">
        <f>'Por año'!F189</f>
        <v/>
      </c>
      <c r="H29" s="21" t="str">
        <f>'Por año'!H189</f>
        <v/>
      </c>
      <c r="I29" s="61" t="str">
        <f>'Por año'!I189</f>
        <v/>
      </c>
      <c r="J29" s="61" t="str">
        <f>'Por año'!K189</f>
        <v/>
      </c>
    </row>
    <row r="30">
      <c r="A30" s="61" t="str">
        <f>'Por año'!A190</f>
        <v/>
      </c>
      <c r="B30" s="61" t="str">
        <f>'Por año'!B190</f>
        <v/>
      </c>
      <c r="C30" s="20" t="str">
        <f>'Por año'!C190</f>
        <v/>
      </c>
      <c r="E30" s="61" t="str">
        <f>'Por año'!E190</f>
        <v/>
      </c>
      <c r="F30" s="61" t="str">
        <f>'Por año'!F190</f>
        <v/>
      </c>
      <c r="H30" s="21" t="str">
        <f>'Por año'!H190</f>
        <v/>
      </c>
      <c r="I30" s="61" t="str">
        <f>'Por año'!I190</f>
        <v/>
      </c>
      <c r="J30" s="61" t="str">
        <f>'Por año'!K190</f>
        <v/>
      </c>
    </row>
    <row r="31">
      <c r="A31" s="61" t="str">
        <f>'Por año'!A191</f>
        <v/>
      </c>
      <c r="B31" s="61" t="str">
        <f>'Por año'!B191</f>
        <v/>
      </c>
      <c r="C31" s="20" t="str">
        <f>'Por año'!C191</f>
        <v/>
      </c>
      <c r="E31" s="61" t="str">
        <f>'Por año'!E191</f>
        <v/>
      </c>
      <c r="F31" s="61" t="str">
        <f>'Por año'!F191</f>
        <v/>
      </c>
      <c r="H31" s="21" t="str">
        <f>'Por año'!H191</f>
        <v/>
      </c>
      <c r="I31" s="61" t="str">
        <f>'Por año'!I191</f>
        <v/>
      </c>
      <c r="J31" s="61" t="str">
        <f>'Por año'!K191</f>
        <v/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6.5"/>
    <col customWidth="1" min="3" max="3" width="3.0"/>
    <col customWidth="1" min="4" max="4" width="9.63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año'!A7</f>
        <v>24-25</v>
      </c>
      <c r="B2" s="61" t="str">
        <f>'Por año'!B7</f>
        <v>Mate</v>
      </c>
      <c r="C2" s="20">
        <f>'Por año'!C7</f>
        <v>30</v>
      </c>
      <c r="D2" s="61" t="str">
        <f t="shared" ref="D2:D10" si="1">CONCATENATE(A2,"(",C2,")")</f>
        <v>24-25(30)</v>
      </c>
      <c r="E2" s="21">
        <f>'Por año'!E7</f>
        <v>0.6333</v>
      </c>
      <c r="F2" s="61">
        <f>'Por año'!F7</f>
        <v>5.19</v>
      </c>
      <c r="G2" s="61">
        <f>'Por año'!G7</f>
        <v>7</v>
      </c>
      <c r="H2" s="21">
        <f>'Por año'!H7</f>
        <v>0.5941</v>
      </c>
      <c r="I2" s="61">
        <f>'Por año'!I7</f>
        <v>5.47</v>
      </c>
    </row>
    <row r="3">
      <c r="A3" s="61" t="str">
        <f>'Por año'!A26</f>
        <v>23-24</v>
      </c>
      <c r="B3" s="61" t="str">
        <f>'Por año'!B26</f>
        <v>Mate</v>
      </c>
      <c r="C3" s="20">
        <f>'Por año'!C26</f>
        <v>35</v>
      </c>
      <c r="D3" s="61" t="str">
        <f t="shared" si="1"/>
        <v>23-24(35)</v>
      </c>
      <c r="E3" s="21">
        <f>'Por año'!E26</f>
        <v>0.6944</v>
      </c>
      <c r="F3" s="61">
        <f>'Por año'!F26</f>
        <v>5.87</v>
      </c>
      <c r="G3" s="61">
        <f>'Por año'!G26</f>
        <v>6.62</v>
      </c>
      <c r="H3" s="21">
        <f>'Por año'!H26</f>
        <v>0.6822</v>
      </c>
      <c r="I3" s="61">
        <f>'Por año'!I26</f>
        <v>5.8</v>
      </c>
    </row>
    <row r="4">
      <c r="A4" s="61" t="str">
        <f>'Por año'!A45</f>
        <v>22-23</v>
      </c>
      <c r="B4" s="61" t="str">
        <f>'Por año'!B45</f>
        <v>Mate</v>
      </c>
      <c r="C4" s="20">
        <f>'Por año'!C45</f>
        <v>25</v>
      </c>
      <c r="D4" s="61" t="str">
        <f t="shared" si="1"/>
        <v>22-23(25)</v>
      </c>
      <c r="E4" s="21">
        <f>'Por año'!E45</f>
        <v>0.8519</v>
      </c>
      <c r="F4" s="61">
        <f>'Por año'!F45</f>
        <v>6.78</v>
      </c>
      <c r="G4" s="61">
        <f>'Por año'!G45</f>
        <v>6.92</v>
      </c>
      <c r="H4" s="21">
        <f>'Por año'!H45</f>
        <v>0.7599</v>
      </c>
      <c r="I4" s="61">
        <f>'Por año'!I45</f>
        <v>6.48</v>
      </c>
    </row>
    <row r="5">
      <c r="A5" s="61" t="str">
        <f>'Por año'!A64</f>
        <v>21-22</v>
      </c>
      <c r="B5" s="61" t="str">
        <f>'Por año'!B64</f>
        <v>Mate</v>
      </c>
      <c r="C5" s="20">
        <f>'Por año'!C64</f>
        <v>28</v>
      </c>
      <c r="D5" s="61" t="str">
        <f t="shared" si="1"/>
        <v>21-22(28)</v>
      </c>
      <c r="E5" s="21">
        <f>'Por año'!E64</f>
        <v>0.8966</v>
      </c>
      <c r="F5" s="61">
        <f>'Por año'!F64</f>
        <v>7.47</v>
      </c>
      <c r="G5" s="61">
        <f>'Por año'!G64</f>
        <v>7.21</v>
      </c>
      <c r="H5" s="21">
        <f>'Por año'!H64</f>
        <v>0.8134</v>
      </c>
      <c r="I5" s="61">
        <f>'Por año'!I64</f>
        <v>6.74</v>
      </c>
    </row>
    <row r="6">
      <c r="A6" s="61" t="str">
        <f>'Por año'!A83</f>
        <v>20-21</v>
      </c>
      <c r="B6" s="61" t="str">
        <f>'Por año'!B83</f>
        <v>Mate</v>
      </c>
      <c r="C6" s="20">
        <f>'Por año'!C83</f>
        <v>31</v>
      </c>
      <c r="D6" s="61" t="str">
        <f t="shared" si="1"/>
        <v>20-21(31)</v>
      </c>
      <c r="E6" s="21">
        <f>'Por año'!E83</f>
        <v>0.8065</v>
      </c>
      <c r="F6" s="61">
        <f>'Por año'!F83</f>
        <v>6.31</v>
      </c>
      <c r="G6" s="61">
        <f>'Por año'!G83</f>
        <v>6.81</v>
      </c>
      <c r="H6" s="21">
        <f>'Por año'!H83</f>
        <v>0.7154</v>
      </c>
      <c r="I6" s="61">
        <f>'Por año'!I83</f>
        <v>6.15</v>
      </c>
    </row>
    <row r="7">
      <c r="A7" s="61" t="str">
        <f>'Por año'!A102</f>
        <v>19-20</v>
      </c>
      <c r="B7" s="61" t="str">
        <f>'Por año'!B102</f>
        <v>Mate</v>
      </c>
      <c r="C7" s="20">
        <f>'Por año'!C102</f>
        <v>31</v>
      </c>
      <c r="D7" s="61" t="str">
        <f t="shared" si="1"/>
        <v>19-20(31)</v>
      </c>
      <c r="E7" s="21">
        <f>'Por año'!E102</f>
        <v>0.8387</v>
      </c>
      <c r="F7" s="61">
        <f>'Por año'!F102</f>
        <v>7.556</v>
      </c>
      <c r="G7" s="61">
        <f>'Por año'!G102</f>
        <v>7.6</v>
      </c>
      <c r="H7" s="21">
        <f>'Por año'!H102</f>
        <v>0.7607</v>
      </c>
      <c r="I7" s="61">
        <f>'Por año'!I102</f>
        <v>6.656</v>
      </c>
      <c r="J7" s="20" t="str">
        <f>'Por año'!K102</f>
        <v/>
      </c>
    </row>
    <row r="8">
      <c r="A8" s="61" t="str">
        <f>'Por año'!A121</f>
        <v>18-19</v>
      </c>
      <c r="B8" s="61" t="str">
        <f>'Por año'!B121</f>
        <v>Mate</v>
      </c>
      <c r="C8" s="20">
        <f>'Por año'!C121</f>
        <v>17</v>
      </c>
      <c r="D8" s="61" t="str">
        <f t="shared" si="1"/>
        <v>18-19(17)</v>
      </c>
      <c r="E8" s="21">
        <f>'Por año'!E121</f>
        <v>0.8824</v>
      </c>
      <c r="F8" s="67">
        <f>'Por año'!F121</f>
        <v>6.868</v>
      </c>
      <c r="G8" s="67">
        <f>'Por año'!G121</f>
        <v>7.38</v>
      </c>
      <c r="H8" s="21">
        <f>'Por año'!H121</f>
        <v>0.7366</v>
      </c>
      <c r="I8" s="61">
        <f>'Por año'!I121</f>
        <v>6.244</v>
      </c>
      <c r="J8" s="61" t="str">
        <f>'Por año'!K121</f>
        <v/>
      </c>
    </row>
    <row r="9">
      <c r="A9" s="61" t="str">
        <f>'Por año'!A140</f>
        <v>17-18</v>
      </c>
      <c r="B9" s="61" t="str">
        <f>'Por año'!B140</f>
        <v>Mate</v>
      </c>
      <c r="C9" s="20">
        <f>'Por año'!C140</f>
        <v>18</v>
      </c>
      <c r="D9" s="61" t="str">
        <f t="shared" si="1"/>
        <v>17-18(18)</v>
      </c>
      <c r="E9" s="21">
        <f>'Por año'!E140</f>
        <v>0.3889</v>
      </c>
      <c r="F9" s="67">
        <f>'Por año'!F140</f>
        <v>5.042</v>
      </c>
      <c r="G9" s="67">
        <f>'Por año'!G140</f>
        <v>6.78</v>
      </c>
      <c r="H9" s="21">
        <f>'Por año'!H140</f>
        <v>0.6645</v>
      </c>
      <c r="I9" s="61">
        <f>'Por año'!I140</f>
        <v>5.701</v>
      </c>
      <c r="J9" s="61" t="str">
        <f>'Por año'!K140</f>
        <v/>
      </c>
    </row>
    <row r="10">
      <c r="A10" s="61" t="str">
        <f>'Por año'!A159</f>
        <v>16-17</v>
      </c>
      <c r="B10" s="61" t="str">
        <f>'Por año'!B159</f>
        <v>Mate</v>
      </c>
      <c r="C10" s="20">
        <f>'Por año'!C159</f>
        <v>20</v>
      </c>
      <c r="D10" s="61" t="str">
        <f t="shared" si="1"/>
        <v>16-17(20)</v>
      </c>
      <c r="E10" s="21">
        <f>'Por año'!E159</f>
        <v>0.8</v>
      </c>
      <c r="F10" s="67">
        <f>'Por año'!F159</f>
        <v>6.912</v>
      </c>
      <c r="G10" s="67">
        <f>'Por año'!G159</f>
        <v>7</v>
      </c>
      <c r="H10" s="21">
        <f>'Por año'!H159</f>
        <v>0.7602</v>
      </c>
      <c r="I10" s="61">
        <f>'Por año'!I159</f>
        <v>6.498</v>
      </c>
      <c r="J10" s="61" t="str">
        <f>'Por año'!K159</f>
        <v/>
      </c>
    </row>
    <row r="12">
      <c r="A12" s="61" t="str">
        <f>'Por año'!A172</f>
        <v/>
      </c>
      <c r="B12" s="61" t="str">
        <f>'Por año'!B172</f>
        <v/>
      </c>
      <c r="C12" s="20" t="str">
        <f>'Por año'!C172</f>
        <v/>
      </c>
      <c r="E12" s="61" t="str">
        <f>'Por año'!E172</f>
        <v/>
      </c>
      <c r="F12" s="61" t="str">
        <f>'Por año'!F172</f>
        <v/>
      </c>
      <c r="H12" s="21" t="str">
        <f>'Por año'!H172</f>
        <v/>
      </c>
      <c r="I12" s="61" t="str">
        <f>'Por año'!I172</f>
        <v/>
      </c>
      <c r="J12" s="61" t="str">
        <f>'Por año'!K172</f>
        <v/>
      </c>
    </row>
    <row r="13">
      <c r="A13" s="61" t="str">
        <f>'Por año'!A173</f>
        <v/>
      </c>
      <c r="B13" s="61" t="str">
        <f>'Por año'!B173</f>
        <v/>
      </c>
      <c r="C13" s="20" t="str">
        <f>'Por año'!C173</f>
        <v/>
      </c>
      <c r="E13" s="61" t="str">
        <f>'Por año'!E173</f>
        <v/>
      </c>
      <c r="F13" s="61" t="str">
        <f>'Por año'!F173</f>
        <v/>
      </c>
      <c r="H13" s="21" t="str">
        <f>'Por año'!H173</f>
        <v/>
      </c>
      <c r="I13" s="61" t="str">
        <f>'Por año'!I173</f>
        <v/>
      </c>
      <c r="J13" s="61" t="str">
        <f>'Por año'!K173</f>
        <v/>
      </c>
    </row>
    <row r="14">
      <c r="A14" s="61" t="str">
        <f>'Por año'!A174</f>
        <v/>
      </c>
      <c r="B14" s="61" t="str">
        <f>'Por año'!B174</f>
        <v/>
      </c>
      <c r="C14" s="20" t="str">
        <f>'Por año'!C174</f>
        <v/>
      </c>
      <c r="E14" s="61" t="str">
        <f>'Por año'!E174</f>
        <v/>
      </c>
      <c r="F14" s="61" t="str">
        <f>'Por año'!F174</f>
        <v/>
      </c>
      <c r="H14" s="21" t="str">
        <f>'Por año'!H174</f>
        <v/>
      </c>
      <c r="I14" s="61" t="str">
        <f>'Por año'!I174</f>
        <v/>
      </c>
      <c r="J14" s="61" t="str">
        <f>'Por año'!K174</f>
        <v/>
      </c>
    </row>
    <row r="15">
      <c r="A15" s="61" t="str">
        <f>'Por año'!A175</f>
        <v/>
      </c>
      <c r="B15" s="61" t="str">
        <f>'Por año'!B175</f>
        <v/>
      </c>
      <c r="C15" s="20" t="str">
        <f>'Por año'!C175</f>
        <v/>
      </c>
      <c r="E15" s="61" t="str">
        <f>'Por año'!E175</f>
        <v/>
      </c>
      <c r="F15" s="61" t="str">
        <f>'Por año'!F175</f>
        <v/>
      </c>
      <c r="H15" s="21" t="str">
        <f>'Por año'!H175</f>
        <v/>
      </c>
      <c r="I15" s="61" t="str">
        <f>'Por año'!I175</f>
        <v/>
      </c>
      <c r="J15" s="61" t="str">
        <f>'Por año'!K175</f>
        <v/>
      </c>
    </row>
    <row r="16">
      <c r="A16" s="61" t="str">
        <f>'Por año'!A176</f>
        <v/>
      </c>
      <c r="B16" s="61" t="str">
        <f>'Por año'!B176</f>
        <v/>
      </c>
      <c r="C16" s="20" t="str">
        <f>'Por año'!C176</f>
        <v/>
      </c>
      <c r="E16" s="61" t="str">
        <f>'Por año'!E176</f>
        <v/>
      </c>
      <c r="F16" s="61" t="str">
        <f>'Por año'!F176</f>
        <v/>
      </c>
      <c r="H16" s="21" t="str">
        <f>'Por año'!H176</f>
        <v/>
      </c>
      <c r="I16" s="61" t="str">
        <f>'Por año'!I176</f>
        <v/>
      </c>
      <c r="J16" s="61" t="str">
        <f>'Por año'!K176</f>
        <v/>
      </c>
    </row>
    <row r="17">
      <c r="A17" s="61" t="str">
        <f>'Por año'!A177</f>
        <v/>
      </c>
      <c r="B17" s="61" t="str">
        <f>'Por año'!B177</f>
        <v/>
      </c>
      <c r="C17" s="20" t="str">
        <f>'Por año'!C177</f>
        <v/>
      </c>
      <c r="E17" s="61" t="str">
        <f>'Por año'!E177</f>
        <v/>
      </c>
      <c r="F17" s="61" t="str">
        <f>'Por año'!F177</f>
        <v/>
      </c>
      <c r="H17" s="21" t="str">
        <f>'Por año'!H177</f>
        <v/>
      </c>
      <c r="I17" s="61" t="str">
        <f>'Por año'!I177</f>
        <v/>
      </c>
      <c r="J17" s="61" t="str">
        <f>'Por año'!K177</f>
        <v/>
      </c>
    </row>
    <row r="18">
      <c r="A18" s="61" t="str">
        <f>'Por año'!A178</f>
        <v/>
      </c>
      <c r="B18" s="61" t="str">
        <f>'Por año'!B178</f>
        <v/>
      </c>
      <c r="C18" s="20" t="str">
        <f>'Por año'!C178</f>
        <v/>
      </c>
      <c r="E18" s="61" t="str">
        <f>'Por año'!E178</f>
        <v/>
      </c>
      <c r="F18" s="61" t="str">
        <f>'Por año'!F178</f>
        <v/>
      </c>
      <c r="H18" s="21" t="str">
        <f>'Por año'!H178</f>
        <v/>
      </c>
      <c r="I18" s="61" t="str">
        <f>'Por año'!I178</f>
        <v/>
      </c>
      <c r="J18" s="61" t="str">
        <f>'Por año'!K178</f>
        <v/>
      </c>
    </row>
    <row r="19">
      <c r="A19" s="61" t="str">
        <f>'Por año'!A179</f>
        <v/>
      </c>
      <c r="B19" s="61" t="str">
        <f>'Por año'!B179</f>
        <v/>
      </c>
      <c r="C19" s="20" t="str">
        <f>'Por año'!C179</f>
        <v/>
      </c>
      <c r="E19" s="61" t="str">
        <f>'Por año'!E179</f>
        <v/>
      </c>
      <c r="F19" s="61" t="str">
        <f>'Por año'!F179</f>
        <v/>
      </c>
      <c r="H19" s="21" t="str">
        <f>'Por año'!H179</f>
        <v/>
      </c>
      <c r="I19" s="61" t="str">
        <f>'Por año'!I179</f>
        <v/>
      </c>
      <c r="J19" s="61" t="str">
        <f>'Por año'!K179</f>
        <v/>
      </c>
    </row>
    <row r="20">
      <c r="A20" s="61" t="str">
        <f>'Por año'!A180</f>
        <v/>
      </c>
      <c r="B20" s="61" t="str">
        <f>'Por año'!B180</f>
        <v/>
      </c>
      <c r="C20" s="20" t="str">
        <f>'Por año'!C180</f>
        <v/>
      </c>
      <c r="E20" s="61" t="str">
        <f>'Por año'!E180</f>
        <v/>
      </c>
      <c r="F20" s="61" t="str">
        <f>'Por año'!F180</f>
        <v/>
      </c>
      <c r="H20" s="21" t="str">
        <f>'Por año'!H180</f>
        <v/>
      </c>
      <c r="I20" s="61" t="str">
        <f>'Por año'!I180</f>
        <v/>
      </c>
      <c r="J20" s="61" t="str">
        <f>'Por año'!K180</f>
        <v/>
      </c>
    </row>
    <row r="21">
      <c r="A21" s="61" t="str">
        <f>'Por año'!A181</f>
        <v/>
      </c>
      <c r="B21" s="61" t="str">
        <f>'Por año'!B181</f>
        <v/>
      </c>
      <c r="C21" s="20" t="str">
        <f>'Por año'!C181</f>
        <v/>
      </c>
      <c r="E21" s="61" t="str">
        <f>'Por año'!E181</f>
        <v/>
      </c>
      <c r="F21" s="61" t="str">
        <f>'Por año'!F181</f>
        <v/>
      </c>
      <c r="H21" s="21" t="str">
        <f>'Por año'!H181</f>
        <v/>
      </c>
      <c r="I21" s="61" t="str">
        <f>'Por año'!I181</f>
        <v/>
      </c>
      <c r="J21" s="61" t="str">
        <f>'Por año'!K181</f>
        <v/>
      </c>
    </row>
    <row r="22">
      <c r="A22" s="61" t="str">
        <f>'Por año'!A182</f>
        <v/>
      </c>
      <c r="B22" s="61" t="str">
        <f>'Por año'!B182</f>
        <v/>
      </c>
      <c r="C22" s="20" t="str">
        <f>'Por año'!C182</f>
        <v/>
      </c>
      <c r="E22" s="61" t="str">
        <f>'Por año'!E182</f>
        <v/>
      </c>
      <c r="F22" s="61" t="str">
        <f>'Por año'!F182</f>
        <v/>
      </c>
      <c r="H22" s="21" t="str">
        <f>'Por año'!H182</f>
        <v/>
      </c>
      <c r="I22" s="61" t="str">
        <f>'Por año'!I182</f>
        <v/>
      </c>
      <c r="J22" s="61" t="str">
        <f>'Por año'!K182</f>
        <v/>
      </c>
    </row>
    <row r="23">
      <c r="A23" s="61" t="str">
        <f>'Por año'!A183</f>
        <v/>
      </c>
      <c r="B23" s="61" t="str">
        <f>'Por año'!B183</f>
        <v/>
      </c>
      <c r="C23" s="20" t="str">
        <f>'Por año'!C183</f>
        <v/>
      </c>
      <c r="E23" s="61" t="str">
        <f>'Por año'!E183</f>
        <v/>
      </c>
      <c r="F23" s="61" t="str">
        <f>'Por año'!F183</f>
        <v/>
      </c>
      <c r="H23" s="21" t="str">
        <f>'Por año'!H183</f>
        <v/>
      </c>
      <c r="I23" s="61" t="str">
        <f>'Por año'!I183</f>
        <v/>
      </c>
      <c r="J23" s="61" t="str">
        <f>'Por año'!K183</f>
        <v/>
      </c>
    </row>
    <row r="24">
      <c r="A24" s="61" t="str">
        <f>'Por año'!A184</f>
        <v/>
      </c>
      <c r="B24" s="61" t="str">
        <f>'Por año'!B184</f>
        <v/>
      </c>
      <c r="C24" s="20" t="str">
        <f>'Por año'!C184</f>
        <v/>
      </c>
      <c r="E24" s="61" t="str">
        <f>'Por año'!E184</f>
        <v/>
      </c>
      <c r="F24" s="61" t="str">
        <f>'Por año'!F184</f>
        <v/>
      </c>
      <c r="H24" s="21" t="str">
        <f>'Por año'!H184</f>
        <v/>
      </c>
      <c r="I24" s="61" t="str">
        <f>'Por año'!I184</f>
        <v/>
      </c>
      <c r="J24" s="61" t="str">
        <f>'Por año'!K184</f>
        <v/>
      </c>
    </row>
    <row r="25">
      <c r="A25" s="61" t="str">
        <f>'Por año'!A185</f>
        <v/>
      </c>
      <c r="B25" s="61" t="str">
        <f>'Por año'!B185</f>
        <v/>
      </c>
      <c r="C25" s="20" t="str">
        <f>'Por año'!C185</f>
        <v/>
      </c>
      <c r="E25" s="61" t="str">
        <f>'Por año'!E185</f>
        <v/>
      </c>
      <c r="F25" s="61" t="str">
        <f>'Por año'!F185</f>
        <v/>
      </c>
      <c r="H25" s="21" t="str">
        <f>'Por año'!H185</f>
        <v/>
      </c>
      <c r="I25" s="61" t="str">
        <f>'Por año'!I185</f>
        <v/>
      </c>
      <c r="J25" s="61" t="str">
        <f>'Por año'!K185</f>
        <v/>
      </c>
    </row>
    <row r="26">
      <c r="A26" s="61" t="str">
        <f>'Por año'!A186</f>
        <v/>
      </c>
      <c r="B26" s="61" t="str">
        <f>'Por año'!B186</f>
        <v/>
      </c>
      <c r="C26" s="20" t="str">
        <f>'Por año'!C186</f>
        <v/>
      </c>
      <c r="E26" s="61" t="str">
        <f>'Por año'!E186</f>
        <v/>
      </c>
      <c r="F26" s="61" t="str">
        <f>'Por año'!F186</f>
        <v/>
      </c>
      <c r="H26" s="21" t="str">
        <f>'Por año'!H186</f>
        <v/>
      </c>
      <c r="I26" s="61" t="str">
        <f>'Por año'!I186</f>
        <v/>
      </c>
      <c r="J26" s="61" t="str">
        <f>'Por año'!K186</f>
        <v/>
      </c>
    </row>
    <row r="27">
      <c r="A27" s="61" t="str">
        <f>'Por año'!A187</f>
        <v/>
      </c>
      <c r="B27" s="61" t="str">
        <f>'Por año'!B187</f>
        <v/>
      </c>
      <c r="C27" s="20" t="str">
        <f>'Por año'!C187</f>
        <v/>
      </c>
      <c r="E27" s="61" t="str">
        <f>'Por año'!E187</f>
        <v/>
      </c>
      <c r="F27" s="61" t="str">
        <f>'Por año'!F187</f>
        <v/>
      </c>
      <c r="H27" s="21" t="str">
        <f>'Por año'!H187</f>
        <v/>
      </c>
      <c r="I27" s="61" t="str">
        <f>'Por año'!I187</f>
        <v/>
      </c>
      <c r="J27" s="61" t="str">
        <f>'Por año'!K187</f>
        <v/>
      </c>
    </row>
    <row r="28">
      <c r="A28" s="61" t="str">
        <f>'Por año'!A188</f>
        <v/>
      </c>
      <c r="B28" s="61" t="str">
        <f>'Por año'!B188</f>
        <v/>
      </c>
      <c r="C28" s="20" t="str">
        <f>'Por año'!C188</f>
        <v/>
      </c>
      <c r="E28" s="61" t="str">
        <f>'Por año'!E188</f>
        <v/>
      </c>
      <c r="F28" s="61" t="str">
        <f>'Por año'!F188</f>
        <v/>
      </c>
      <c r="H28" s="21" t="str">
        <f>'Por año'!H188</f>
        <v/>
      </c>
      <c r="I28" s="61" t="str">
        <f>'Por año'!I188</f>
        <v/>
      </c>
      <c r="J28" s="61" t="str">
        <f>'Por año'!K188</f>
        <v/>
      </c>
    </row>
    <row r="29">
      <c r="A29" s="61" t="str">
        <f>'Por año'!A189</f>
        <v/>
      </c>
      <c r="B29" s="61" t="str">
        <f>'Por año'!B189</f>
        <v/>
      </c>
      <c r="C29" s="20" t="str">
        <f>'Por año'!C189</f>
        <v/>
      </c>
      <c r="E29" s="61" t="str">
        <f>'Por año'!E189</f>
        <v/>
      </c>
      <c r="F29" s="61" t="str">
        <f>'Por año'!F189</f>
        <v/>
      </c>
      <c r="H29" s="21" t="str">
        <f>'Por año'!H189</f>
        <v/>
      </c>
      <c r="I29" s="61" t="str">
        <f>'Por año'!I189</f>
        <v/>
      </c>
      <c r="J29" s="61" t="str">
        <f>'Por año'!K189</f>
        <v/>
      </c>
    </row>
    <row r="30">
      <c r="A30" s="61" t="str">
        <f>'Por año'!A190</f>
        <v/>
      </c>
      <c r="B30" s="61" t="str">
        <f>'Por año'!B190</f>
        <v/>
      </c>
      <c r="C30" s="20" t="str">
        <f>'Por año'!C190</f>
        <v/>
      </c>
      <c r="E30" s="61" t="str">
        <f>'Por año'!E190</f>
        <v/>
      </c>
      <c r="F30" s="61" t="str">
        <f>'Por año'!F190</f>
        <v/>
      </c>
      <c r="H30" s="21" t="str">
        <f>'Por año'!H190</f>
        <v/>
      </c>
      <c r="I30" s="61" t="str">
        <f>'Por año'!I190</f>
        <v/>
      </c>
      <c r="J30" s="61" t="str">
        <f>'Por año'!K190</f>
        <v/>
      </c>
    </row>
    <row r="31">
      <c r="A31" s="61" t="str">
        <f>'Por año'!A191</f>
        <v/>
      </c>
      <c r="B31" s="61" t="str">
        <f>'Por año'!B191</f>
        <v/>
      </c>
      <c r="C31" s="20" t="str">
        <f>'Por año'!C191</f>
        <v/>
      </c>
      <c r="E31" s="61" t="str">
        <f>'Por año'!E191</f>
        <v/>
      </c>
      <c r="F31" s="61" t="str">
        <f>'Por año'!F191</f>
        <v/>
      </c>
      <c r="H31" s="21" t="str">
        <f>'Por año'!H191</f>
        <v/>
      </c>
      <c r="I31" s="61" t="str">
        <f>'Por año'!I191</f>
        <v/>
      </c>
      <c r="J31" s="61" t="str">
        <f>'Por año'!K191</f>
        <v/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9.63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8" t="str">
        <f>'Por año'!A8</f>
        <v>24-25</v>
      </c>
      <c r="B2" s="68" t="str">
        <f>'Por año'!B26</f>
        <v>Mate</v>
      </c>
      <c r="C2" s="69">
        <f>'Por año'!C8</f>
        <v>7</v>
      </c>
      <c r="D2" s="68" t="str">
        <f t="shared" ref="D2:D10" si="1">CONCATENATE(A2,"(",C2,")")</f>
        <v>24-25(7)</v>
      </c>
      <c r="E2" s="21">
        <f>'Por año'!E8</f>
        <v>1</v>
      </c>
      <c r="F2" s="61">
        <f>'Por año'!F8</f>
        <v>6.36</v>
      </c>
      <c r="G2" s="61">
        <f>'Por año'!G8</f>
        <v>6.43</v>
      </c>
      <c r="H2" s="21">
        <f>'Por año'!H8</f>
        <v>0.5923</v>
      </c>
      <c r="I2" s="61">
        <f>'Por año'!I8</f>
        <v>5.22</v>
      </c>
    </row>
    <row r="3">
      <c r="A3" s="68" t="str">
        <f>'Por año'!A27</f>
        <v>23-24</v>
      </c>
      <c r="B3" s="68" t="str">
        <f>'Por año'!B27</f>
        <v>Mate CCSS</v>
      </c>
      <c r="C3" s="69">
        <f>'Por año'!C27</f>
        <v>9</v>
      </c>
      <c r="D3" s="68" t="str">
        <f t="shared" si="1"/>
        <v>23-24(9)</v>
      </c>
      <c r="E3" s="21">
        <f>'Por año'!E27</f>
        <v>1</v>
      </c>
      <c r="F3" s="61">
        <f>'Por año'!F27</f>
        <v>7.04</v>
      </c>
      <c r="G3" s="61">
        <f>'Por año'!G27</f>
        <v>6.11</v>
      </c>
      <c r="H3" s="21">
        <f>'Por año'!H27</f>
        <v>0.7939</v>
      </c>
      <c r="I3" s="61">
        <f>'Por año'!I27</f>
        <v>6.72</v>
      </c>
    </row>
    <row r="4">
      <c r="A4" s="68" t="str">
        <f>'Por año'!A46</f>
        <v>22-23</v>
      </c>
      <c r="B4" s="68" t="str">
        <f>'Por año'!B46</f>
        <v>Mate CCSS</v>
      </c>
      <c r="C4" s="69">
        <f>'Por año'!C46</f>
        <v>18</v>
      </c>
      <c r="D4" s="68" t="str">
        <f t="shared" si="1"/>
        <v>22-23(18)</v>
      </c>
      <c r="E4" s="21">
        <f>'Por año'!E46</f>
        <v>1</v>
      </c>
      <c r="F4" s="61">
        <f>'Por año'!F46</f>
        <v>7.71</v>
      </c>
      <c r="G4" s="61">
        <f>'Por año'!G46</f>
        <v>7.11</v>
      </c>
      <c r="H4" s="21">
        <f>'Por año'!H46</f>
        <v>0.8038</v>
      </c>
      <c r="I4" s="61">
        <f>'Por año'!I46</f>
        <v>6.79</v>
      </c>
    </row>
    <row r="5">
      <c r="A5" s="61" t="str">
        <f>'Por año'!A65</f>
        <v>21-22</v>
      </c>
      <c r="B5" s="61" t="str">
        <f>'Por año'!B65</f>
        <v>Mate CCSS</v>
      </c>
      <c r="C5" s="20">
        <f>'Por año'!C65</f>
        <v>20</v>
      </c>
      <c r="D5" s="61" t="str">
        <f t="shared" si="1"/>
        <v>21-22(20)</v>
      </c>
      <c r="E5" s="21">
        <f>'Por año'!E65</f>
        <v>0.8</v>
      </c>
      <c r="F5" s="61">
        <f>'Por año'!F65</f>
        <v>6.2</v>
      </c>
      <c r="G5" s="61">
        <f>'Por año'!G65</f>
        <v>6.68</v>
      </c>
      <c r="H5" s="21">
        <f>'Por año'!H65</f>
        <v>0.7099</v>
      </c>
      <c r="I5" s="61">
        <f>'Por año'!I65</f>
        <v>5.93</v>
      </c>
    </row>
    <row r="6">
      <c r="A6" s="61" t="str">
        <f>'Por año'!A84</f>
        <v>20-21</v>
      </c>
      <c r="B6" s="61" t="str">
        <f>'Por año'!B84</f>
        <v>Mate CCSS</v>
      </c>
      <c r="C6" s="20">
        <f>'Por año'!C84</f>
        <v>19</v>
      </c>
      <c r="D6" s="61" t="str">
        <f t="shared" si="1"/>
        <v>20-21(19)</v>
      </c>
      <c r="E6" s="21">
        <f>'Por año'!E84</f>
        <v>0.8421</v>
      </c>
      <c r="F6" s="61">
        <f>'Por año'!F84</f>
        <v>6.87</v>
      </c>
      <c r="G6" s="61">
        <f>'Por año'!G84</f>
        <v>6.89</v>
      </c>
      <c r="H6" s="21">
        <f>'Por año'!H84</f>
        <v>0.6568</v>
      </c>
      <c r="I6" s="61">
        <f>'Por año'!I84</f>
        <v>5.83</v>
      </c>
    </row>
    <row r="7">
      <c r="A7" s="61" t="str">
        <f>'Por año'!A103</f>
        <v>19-20</v>
      </c>
      <c r="B7" s="61" t="str">
        <f>'Por año'!B103</f>
        <v>Mate CCSS</v>
      </c>
      <c r="C7" s="20">
        <f>'Por año'!C103</f>
        <v>20</v>
      </c>
      <c r="D7" s="61" t="str">
        <f t="shared" si="1"/>
        <v>19-20(20)</v>
      </c>
      <c r="E7" s="21">
        <f>'Por año'!E103</f>
        <v>0.85</v>
      </c>
      <c r="F7" s="61">
        <f>'Por año'!F103</f>
        <v>6.388</v>
      </c>
      <c r="G7" s="61">
        <f>'Por año'!G103</f>
        <v>7.72</v>
      </c>
      <c r="H7" s="21">
        <f>'Por año'!H103</f>
        <v>0.5999</v>
      </c>
      <c r="I7" s="61">
        <f>'Por año'!I103</f>
        <v>5.331</v>
      </c>
    </row>
    <row r="8">
      <c r="A8" s="61" t="str">
        <f>'Por año'!A122</f>
        <v>18-19</v>
      </c>
      <c r="B8" s="61" t="str">
        <f>'Por año'!B122</f>
        <v>Mate CCSS</v>
      </c>
      <c r="C8" s="20">
        <f>'Por año'!C122</f>
        <v>20</v>
      </c>
      <c r="D8" s="61" t="str">
        <f t="shared" si="1"/>
        <v>18-19(20)</v>
      </c>
      <c r="E8" s="21">
        <f>'Por año'!E122</f>
        <v>0.7</v>
      </c>
      <c r="F8" s="61">
        <f>'Por año'!F122</f>
        <v>5.875</v>
      </c>
      <c r="G8" s="61">
        <f>'Por año'!G122</f>
        <v>6</v>
      </c>
      <c r="H8" s="21">
        <f>'Por año'!H122</f>
        <v>0.5549</v>
      </c>
      <c r="I8" s="61">
        <f>'Por año'!I122</f>
        <v>5.262</v>
      </c>
    </row>
    <row r="9">
      <c r="A9" s="61" t="str">
        <f>'Por año'!A141</f>
        <v>17-18</v>
      </c>
      <c r="B9" s="61" t="str">
        <f>'Por año'!B141</f>
        <v>Mate CCSS</v>
      </c>
      <c r="C9" s="20">
        <f>'Por año'!C141</f>
        <v>15</v>
      </c>
      <c r="D9" s="61" t="str">
        <f t="shared" si="1"/>
        <v>17-18(15)</v>
      </c>
      <c r="E9" s="21">
        <f>'Por año'!E141</f>
        <v>1</v>
      </c>
      <c r="F9" s="61">
        <f>'Por año'!F141</f>
        <v>7.35</v>
      </c>
      <c r="G9" s="61">
        <f>'Por año'!G141</f>
        <v>6.19</v>
      </c>
      <c r="H9" s="21">
        <f>'Por año'!H141</f>
        <v>0.8323</v>
      </c>
      <c r="I9" s="61">
        <f>'Por año'!I141</f>
        <v>7.046</v>
      </c>
    </row>
    <row r="10">
      <c r="A10" s="61" t="str">
        <f>'Por año'!A160</f>
        <v>16-17</v>
      </c>
      <c r="B10" s="61" t="str">
        <f>'Por año'!B160</f>
        <v>Mate CCSS</v>
      </c>
      <c r="C10" s="20">
        <f>'Por año'!C160</f>
        <v>16</v>
      </c>
      <c r="D10" s="61" t="str">
        <f t="shared" si="1"/>
        <v>16-17(16)</v>
      </c>
      <c r="E10" s="21">
        <f>'Por año'!E160</f>
        <v>0.875</v>
      </c>
      <c r="F10" s="61">
        <f>'Por año'!F160</f>
        <v>7.172</v>
      </c>
      <c r="G10" s="61">
        <f>'Por año'!G160</f>
        <v>7</v>
      </c>
      <c r="H10" s="21">
        <f>'Por año'!H160</f>
        <v>0.5865</v>
      </c>
      <c r="I10" s="61">
        <f>'Por año'!I160</f>
        <v>5.216</v>
      </c>
      <c r="J10" s="61" t="str">
        <f>'Por año'!K170</f>
        <v/>
      </c>
    </row>
    <row r="11">
      <c r="A11" s="61" t="str">
        <f>'Por año'!A172</f>
        <v/>
      </c>
      <c r="B11" s="61" t="str">
        <f>'Por año'!B172</f>
        <v/>
      </c>
      <c r="C11" s="20" t="str">
        <f>'Por año'!C172</f>
        <v/>
      </c>
      <c r="E11" s="61" t="str">
        <f>'Por año'!E172</f>
        <v/>
      </c>
      <c r="F11" s="61" t="str">
        <f>'Por año'!F172</f>
        <v/>
      </c>
      <c r="H11" s="21" t="str">
        <f>'Por año'!H172</f>
        <v/>
      </c>
      <c r="I11" s="61" t="str">
        <f>'Por año'!I172</f>
        <v/>
      </c>
      <c r="J11" s="61" t="str">
        <f>'Por año'!K172</f>
        <v/>
      </c>
    </row>
    <row r="12">
      <c r="A12" s="61" t="str">
        <f>'Por año'!A173</f>
        <v/>
      </c>
      <c r="B12" s="61" t="str">
        <f>'Por año'!B173</f>
        <v/>
      </c>
      <c r="C12" s="20" t="str">
        <f>'Por año'!C173</f>
        <v/>
      </c>
      <c r="E12" s="61" t="str">
        <f>'Por año'!E173</f>
        <v/>
      </c>
      <c r="F12" s="61" t="str">
        <f>'Por año'!F173</f>
        <v/>
      </c>
      <c r="H12" s="21" t="str">
        <f>'Por año'!H173</f>
        <v/>
      </c>
      <c r="I12" s="61" t="str">
        <f>'Por año'!I173</f>
        <v/>
      </c>
      <c r="J12" s="61" t="str">
        <f>'Por año'!K173</f>
        <v/>
      </c>
    </row>
    <row r="13">
      <c r="A13" s="61" t="str">
        <f>'Por año'!A174</f>
        <v/>
      </c>
      <c r="B13" s="61" t="str">
        <f>'Por año'!B174</f>
        <v/>
      </c>
      <c r="C13" s="20" t="str">
        <f>'Por año'!C174</f>
        <v/>
      </c>
      <c r="E13" s="61" t="str">
        <f>'Por año'!E174</f>
        <v/>
      </c>
      <c r="F13" s="61" t="str">
        <f>'Por año'!F174</f>
        <v/>
      </c>
      <c r="H13" s="21" t="str">
        <f>'Por año'!H174</f>
        <v/>
      </c>
      <c r="I13" s="61" t="str">
        <f>'Por año'!I174</f>
        <v/>
      </c>
      <c r="J13" s="61" t="str">
        <f>'Por año'!K174</f>
        <v/>
      </c>
    </row>
    <row r="14">
      <c r="A14" s="61" t="str">
        <f>'Por año'!A175</f>
        <v/>
      </c>
      <c r="B14" s="61" t="str">
        <f>'Por año'!B175</f>
        <v/>
      </c>
      <c r="C14" s="20" t="str">
        <f>'Por año'!C175</f>
        <v/>
      </c>
      <c r="E14" s="61" t="str">
        <f>'Por año'!E175</f>
        <v/>
      </c>
      <c r="F14" s="61" t="str">
        <f>'Por año'!F175</f>
        <v/>
      </c>
      <c r="H14" s="21" t="str">
        <f>'Por año'!H175</f>
        <v/>
      </c>
      <c r="I14" s="61" t="str">
        <f>'Por año'!I175</f>
        <v/>
      </c>
      <c r="J14" s="61" t="str">
        <f>'Por año'!K175</f>
        <v/>
      </c>
    </row>
    <row r="15">
      <c r="A15" s="61" t="str">
        <f>'Por año'!A176</f>
        <v/>
      </c>
      <c r="B15" s="61" t="str">
        <f>'Por año'!B176</f>
        <v/>
      </c>
      <c r="C15" s="20" t="str">
        <f>'Por año'!C176</f>
        <v/>
      </c>
      <c r="E15" s="61" t="str">
        <f>'Por año'!E176</f>
        <v/>
      </c>
      <c r="F15" s="61" t="str">
        <f>'Por año'!F176</f>
        <v/>
      </c>
      <c r="H15" s="21" t="str">
        <f>'Por año'!H176</f>
        <v/>
      </c>
      <c r="I15" s="61" t="str">
        <f>'Por año'!I176</f>
        <v/>
      </c>
      <c r="J15" s="61" t="str">
        <f>'Por año'!K176</f>
        <v/>
      </c>
    </row>
    <row r="16">
      <c r="A16" s="61" t="str">
        <f>'Por año'!A177</f>
        <v/>
      </c>
      <c r="B16" s="61" t="str">
        <f>'Por año'!B177</f>
        <v/>
      </c>
      <c r="C16" s="20" t="str">
        <f>'Por año'!C177</f>
        <v/>
      </c>
      <c r="E16" s="61" t="str">
        <f>'Por año'!E177</f>
        <v/>
      </c>
      <c r="F16" s="61" t="str">
        <f>'Por año'!F177</f>
        <v/>
      </c>
      <c r="H16" s="21" t="str">
        <f>'Por año'!H177</f>
        <v/>
      </c>
      <c r="I16" s="61" t="str">
        <f>'Por año'!I177</f>
        <v/>
      </c>
      <c r="J16" s="61" t="str">
        <f>'Por año'!K177</f>
        <v/>
      </c>
    </row>
    <row r="17">
      <c r="A17" s="61" t="str">
        <f>'Por año'!A178</f>
        <v/>
      </c>
      <c r="B17" s="61" t="str">
        <f>'Por año'!B178</f>
        <v/>
      </c>
      <c r="C17" s="20" t="str">
        <f>'Por año'!C178</f>
        <v/>
      </c>
      <c r="E17" s="61" t="str">
        <f>'Por año'!E178</f>
        <v/>
      </c>
      <c r="F17" s="61" t="str">
        <f>'Por año'!F178</f>
        <v/>
      </c>
      <c r="H17" s="21" t="str">
        <f>'Por año'!H178</f>
        <v/>
      </c>
      <c r="I17" s="61" t="str">
        <f>'Por año'!I178</f>
        <v/>
      </c>
      <c r="J17" s="61" t="str">
        <f>'Por año'!K178</f>
        <v/>
      </c>
    </row>
    <row r="18">
      <c r="A18" s="61" t="str">
        <f>'Por año'!A179</f>
        <v/>
      </c>
      <c r="B18" s="61" t="str">
        <f>'Por año'!B179</f>
        <v/>
      </c>
      <c r="C18" s="20" t="str">
        <f>'Por año'!C179</f>
        <v/>
      </c>
      <c r="E18" s="61" t="str">
        <f>'Por año'!E179</f>
        <v/>
      </c>
      <c r="F18" s="61" t="str">
        <f>'Por año'!F179</f>
        <v/>
      </c>
      <c r="H18" s="21" t="str">
        <f>'Por año'!H179</f>
        <v/>
      </c>
      <c r="I18" s="61" t="str">
        <f>'Por año'!I179</f>
        <v/>
      </c>
      <c r="J18" s="61" t="str">
        <f>'Por año'!K179</f>
        <v/>
      </c>
    </row>
    <row r="19">
      <c r="A19" s="61" t="str">
        <f>'Por año'!A180</f>
        <v/>
      </c>
      <c r="B19" s="61" t="str">
        <f>'Por año'!B180</f>
        <v/>
      </c>
      <c r="C19" s="20" t="str">
        <f>'Por año'!C180</f>
        <v/>
      </c>
      <c r="E19" s="61" t="str">
        <f>'Por año'!E180</f>
        <v/>
      </c>
      <c r="F19" s="61" t="str">
        <f>'Por año'!F180</f>
        <v/>
      </c>
      <c r="H19" s="21" t="str">
        <f>'Por año'!H180</f>
        <v/>
      </c>
      <c r="I19" s="61" t="str">
        <f>'Por año'!I180</f>
        <v/>
      </c>
      <c r="J19" s="61" t="str">
        <f>'Por año'!K180</f>
        <v/>
      </c>
    </row>
    <row r="20">
      <c r="A20" s="61" t="str">
        <f>'Por año'!A181</f>
        <v/>
      </c>
      <c r="B20" s="61" t="str">
        <f>'Por año'!B181</f>
        <v/>
      </c>
      <c r="C20" s="20" t="str">
        <f>'Por año'!C181</f>
        <v/>
      </c>
      <c r="E20" s="61" t="str">
        <f>'Por año'!E181</f>
        <v/>
      </c>
      <c r="F20" s="61" t="str">
        <f>'Por año'!F181</f>
        <v/>
      </c>
      <c r="H20" s="21" t="str">
        <f>'Por año'!H181</f>
        <v/>
      </c>
      <c r="I20" s="61" t="str">
        <f>'Por año'!I181</f>
        <v/>
      </c>
      <c r="J20" s="61" t="str">
        <f>'Por año'!K181</f>
        <v/>
      </c>
    </row>
    <row r="21">
      <c r="A21" s="61" t="str">
        <f>'Por año'!A182</f>
        <v/>
      </c>
      <c r="B21" s="61" t="str">
        <f>'Por año'!B182</f>
        <v/>
      </c>
      <c r="C21" s="20" t="str">
        <f>'Por año'!C182</f>
        <v/>
      </c>
      <c r="E21" s="61" t="str">
        <f>'Por año'!E182</f>
        <v/>
      </c>
      <c r="F21" s="61" t="str">
        <f>'Por año'!F182</f>
        <v/>
      </c>
      <c r="H21" s="21" t="str">
        <f>'Por año'!H182</f>
        <v/>
      </c>
      <c r="I21" s="61" t="str">
        <f>'Por año'!I182</f>
        <v/>
      </c>
      <c r="J21" s="61" t="str">
        <f>'Por año'!K182</f>
        <v/>
      </c>
    </row>
    <row r="22">
      <c r="A22" s="61" t="str">
        <f>'Por año'!A183</f>
        <v/>
      </c>
      <c r="B22" s="61" t="str">
        <f>'Por año'!B183</f>
        <v/>
      </c>
      <c r="C22" s="20" t="str">
        <f>'Por año'!C183</f>
        <v/>
      </c>
      <c r="E22" s="61" t="str">
        <f>'Por año'!E183</f>
        <v/>
      </c>
      <c r="F22" s="61" t="str">
        <f>'Por año'!F183</f>
        <v/>
      </c>
      <c r="H22" s="21" t="str">
        <f>'Por año'!H183</f>
        <v/>
      </c>
      <c r="I22" s="61" t="str">
        <f>'Por año'!I183</f>
        <v/>
      </c>
      <c r="J22" s="61" t="str">
        <f>'Por año'!K183</f>
        <v/>
      </c>
    </row>
    <row r="23">
      <c r="A23" s="61" t="str">
        <f>'Por año'!A184</f>
        <v/>
      </c>
      <c r="B23" s="61" t="str">
        <f>'Por año'!B184</f>
        <v/>
      </c>
      <c r="C23" s="20" t="str">
        <f>'Por año'!C184</f>
        <v/>
      </c>
      <c r="E23" s="61" t="str">
        <f>'Por año'!E184</f>
        <v/>
      </c>
      <c r="F23" s="61" t="str">
        <f>'Por año'!F184</f>
        <v/>
      </c>
      <c r="H23" s="21" t="str">
        <f>'Por año'!H184</f>
        <v/>
      </c>
      <c r="I23" s="61" t="str">
        <f>'Por año'!I184</f>
        <v/>
      </c>
      <c r="J23" s="61" t="str">
        <f>'Por año'!K184</f>
        <v/>
      </c>
    </row>
    <row r="24">
      <c r="A24" s="61" t="str">
        <f>'Por año'!A185</f>
        <v/>
      </c>
      <c r="B24" s="61" t="str">
        <f>'Por año'!B185</f>
        <v/>
      </c>
      <c r="C24" s="20" t="str">
        <f>'Por año'!C185</f>
        <v/>
      </c>
      <c r="E24" s="61" t="str">
        <f>'Por año'!E185</f>
        <v/>
      </c>
      <c r="F24" s="61" t="str">
        <f>'Por año'!F185</f>
        <v/>
      </c>
      <c r="H24" s="21" t="str">
        <f>'Por año'!H185</f>
        <v/>
      </c>
      <c r="I24" s="61" t="str">
        <f>'Por año'!I185</f>
        <v/>
      </c>
      <c r="J24" s="61" t="str">
        <f>'Por año'!K185</f>
        <v/>
      </c>
    </row>
    <row r="25">
      <c r="A25" s="61" t="str">
        <f>'Por año'!A186</f>
        <v/>
      </c>
      <c r="B25" s="61" t="str">
        <f>'Por año'!B186</f>
        <v/>
      </c>
      <c r="C25" s="20" t="str">
        <f>'Por año'!C186</f>
        <v/>
      </c>
      <c r="E25" s="61" t="str">
        <f>'Por año'!E186</f>
        <v/>
      </c>
      <c r="F25" s="61" t="str">
        <f>'Por año'!F186</f>
        <v/>
      </c>
      <c r="H25" s="21" t="str">
        <f>'Por año'!H186</f>
        <v/>
      </c>
      <c r="I25" s="61" t="str">
        <f>'Por año'!I186</f>
        <v/>
      </c>
      <c r="J25" s="61" t="str">
        <f>'Por año'!K186</f>
        <v/>
      </c>
    </row>
    <row r="26">
      <c r="A26" s="61" t="str">
        <f>'Por año'!A187</f>
        <v/>
      </c>
      <c r="B26" s="61" t="str">
        <f>'Por año'!B187</f>
        <v/>
      </c>
      <c r="C26" s="20" t="str">
        <f>'Por año'!C187</f>
        <v/>
      </c>
      <c r="E26" s="61" t="str">
        <f>'Por año'!E187</f>
        <v/>
      </c>
      <c r="F26" s="61" t="str">
        <f>'Por año'!F187</f>
        <v/>
      </c>
      <c r="H26" s="21" t="str">
        <f>'Por año'!H187</f>
        <v/>
      </c>
      <c r="I26" s="61" t="str">
        <f>'Por año'!I187</f>
        <v/>
      </c>
      <c r="J26" s="61" t="str">
        <f>'Por año'!K187</f>
        <v/>
      </c>
    </row>
    <row r="27">
      <c r="A27" s="61" t="str">
        <f>'Por año'!A188</f>
        <v/>
      </c>
      <c r="B27" s="61" t="str">
        <f>'Por año'!B188</f>
        <v/>
      </c>
      <c r="C27" s="20" t="str">
        <f>'Por año'!C188</f>
        <v/>
      </c>
      <c r="E27" s="61" t="str">
        <f>'Por año'!E188</f>
        <v/>
      </c>
      <c r="F27" s="61" t="str">
        <f>'Por año'!F188</f>
        <v/>
      </c>
      <c r="H27" s="21" t="str">
        <f>'Por año'!H188</f>
        <v/>
      </c>
      <c r="I27" s="61" t="str">
        <f>'Por año'!I188</f>
        <v/>
      </c>
      <c r="J27" s="61" t="str">
        <f>'Por año'!K188</f>
        <v/>
      </c>
    </row>
    <row r="28">
      <c r="A28" s="61" t="str">
        <f>'Por año'!A189</f>
        <v/>
      </c>
      <c r="B28" s="61" t="str">
        <f>'Por año'!B189</f>
        <v/>
      </c>
      <c r="C28" s="20" t="str">
        <f>'Por año'!C189</f>
        <v/>
      </c>
      <c r="E28" s="61" t="str">
        <f>'Por año'!E189</f>
        <v/>
      </c>
      <c r="F28" s="61" t="str">
        <f>'Por año'!F189</f>
        <v/>
      </c>
      <c r="H28" s="21" t="str">
        <f>'Por año'!H189</f>
        <v/>
      </c>
      <c r="I28" s="61" t="str">
        <f>'Por año'!I189</f>
        <v/>
      </c>
      <c r="J28" s="61" t="str">
        <f>'Por año'!K189</f>
        <v/>
      </c>
    </row>
    <row r="29">
      <c r="A29" s="61" t="str">
        <f>'Por año'!A190</f>
        <v/>
      </c>
      <c r="B29" s="61" t="str">
        <f>'Por año'!B190</f>
        <v/>
      </c>
      <c r="C29" s="20" t="str">
        <f>'Por año'!C190</f>
        <v/>
      </c>
      <c r="E29" s="61" t="str">
        <f>'Por año'!E190</f>
        <v/>
      </c>
      <c r="F29" s="61" t="str">
        <f>'Por año'!F190</f>
        <v/>
      </c>
      <c r="H29" s="21" t="str">
        <f>'Por año'!H190</f>
        <v/>
      </c>
      <c r="I29" s="61" t="str">
        <f>'Por año'!I190</f>
        <v/>
      </c>
      <c r="J29" s="61" t="str">
        <f>'Por año'!K190</f>
        <v/>
      </c>
    </row>
    <row r="30">
      <c r="A30" s="61" t="str">
        <f>'Por año'!A191</f>
        <v/>
      </c>
      <c r="B30" s="61" t="str">
        <f>'Por año'!B191</f>
        <v/>
      </c>
      <c r="C30" s="20" t="str">
        <f>'Por año'!C191</f>
        <v/>
      </c>
      <c r="E30" s="61" t="str">
        <f>'Por año'!E191</f>
        <v/>
      </c>
      <c r="F30" s="61" t="str">
        <f>'Por año'!F191</f>
        <v/>
      </c>
      <c r="H30" s="21" t="str">
        <f>'Por año'!H191</f>
        <v/>
      </c>
      <c r="I30" s="61" t="str">
        <f>'Por año'!I191</f>
        <v/>
      </c>
      <c r="J30" s="61" t="str">
        <f>'Por año'!K191</f>
        <v/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9.63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año'!A9</f>
        <v>24-25</v>
      </c>
      <c r="B2" s="61" t="str">
        <f>'Por año'!B9</f>
        <v>Física</v>
      </c>
      <c r="C2" s="20">
        <f>'Por año'!C9</f>
        <v>20</v>
      </c>
      <c r="D2" s="61" t="str">
        <f t="shared" ref="D2:D10" si="1">CONCATENATE(A2,"(",C2,")")</f>
        <v>24-25(20)</v>
      </c>
      <c r="E2" s="21">
        <f>'Por año'!E9</f>
        <v>0.3</v>
      </c>
      <c r="F2" s="61">
        <f>'Por año'!F9</f>
        <v>4.43</v>
      </c>
      <c r="G2" s="61">
        <f>'Por año'!G9</f>
        <v>6.65</v>
      </c>
      <c r="H2" s="21">
        <f>'Por año'!H9</f>
        <v>0.5504</v>
      </c>
      <c r="I2" s="61">
        <f>'Por año'!I9</f>
        <v>5.3</v>
      </c>
    </row>
    <row r="3">
      <c r="A3" s="61" t="str">
        <f>'Por año'!A28</f>
        <v>23-24</v>
      </c>
      <c r="B3" s="61" t="str">
        <f>'Por año'!B28</f>
        <v>Física</v>
      </c>
      <c r="C3" s="20">
        <f>'Por año'!C28</f>
        <v>26</v>
      </c>
      <c r="D3" s="61" t="str">
        <f t="shared" si="1"/>
        <v>23-24(26)</v>
      </c>
      <c r="E3" s="21">
        <f>'Por año'!E28</f>
        <v>0.8148</v>
      </c>
      <c r="F3" s="61">
        <f>'Por año'!F28</f>
        <v>6.21</v>
      </c>
      <c r="G3" s="61">
        <f>'Por año'!G28</f>
        <v>7</v>
      </c>
      <c r="H3" s="21">
        <f>'Por año'!H28</f>
        <v>0.7849</v>
      </c>
      <c r="I3" s="61">
        <f>'Por año'!I28</f>
        <v>6.45</v>
      </c>
    </row>
    <row r="4">
      <c r="A4" s="61" t="str">
        <f>'Por año'!A47</f>
        <v>22-23</v>
      </c>
      <c r="B4" s="61" t="str">
        <f>'Por año'!B47</f>
        <v>Física</v>
      </c>
      <c r="C4" s="20">
        <f>'Por año'!C47</f>
        <v>21</v>
      </c>
      <c r="D4" s="61" t="str">
        <f t="shared" si="1"/>
        <v>22-23(21)</v>
      </c>
      <c r="E4" s="21">
        <f>'Por año'!E47</f>
        <v>0.9091</v>
      </c>
      <c r="F4" s="61">
        <f>'Por año'!F47</f>
        <v>7.27</v>
      </c>
      <c r="G4" s="61">
        <f>'Por año'!G47</f>
        <v>7.2</v>
      </c>
      <c r="H4" s="21">
        <f>'Por año'!H47</f>
        <v>0.8113</v>
      </c>
      <c r="I4" s="61">
        <f>'Por año'!I47</f>
        <v>6.85</v>
      </c>
    </row>
    <row r="5">
      <c r="A5" s="61" t="str">
        <f>'Por año'!A66</f>
        <v>21-22</v>
      </c>
      <c r="B5" s="61" t="str">
        <f>'Por año'!B66</f>
        <v>Física</v>
      </c>
      <c r="C5" s="20">
        <f>'Por año'!C66</f>
        <v>25</v>
      </c>
      <c r="D5" s="61" t="str">
        <f t="shared" si="1"/>
        <v>21-22(25)</v>
      </c>
      <c r="E5" s="21">
        <f>'Por año'!E66</f>
        <v>0.72</v>
      </c>
      <c r="F5" s="61">
        <f>'Por año'!F66</f>
        <v>5.72</v>
      </c>
      <c r="G5" s="61">
        <f>'Por año'!G66</f>
        <v>7.48</v>
      </c>
      <c r="H5" s="21">
        <f>'Por año'!H66</f>
        <v>0.6059</v>
      </c>
      <c r="I5" s="61">
        <f>'Por año'!I66</f>
        <v>5.52</v>
      </c>
    </row>
    <row r="6">
      <c r="A6" s="61" t="str">
        <f>'Por año'!A85</f>
        <v>20-21</v>
      </c>
      <c r="B6" s="61" t="str">
        <f>'Por año'!B85</f>
        <v>Física</v>
      </c>
      <c r="C6" s="20">
        <f>'Por año'!C85</f>
        <v>24</v>
      </c>
      <c r="D6" s="61" t="str">
        <f t="shared" si="1"/>
        <v>20-21(24)</v>
      </c>
      <c r="E6" s="21">
        <f>'Por año'!E85</f>
        <v>0.7917</v>
      </c>
      <c r="F6" s="61">
        <f>'Por año'!F85</f>
        <v>6.98</v>
      </c>
      <c r="G6" s="61">
        <f>'Por año'!G85</f>
        <v>7.77</v>
      </c>
      <c r="H6" s="21">
        <f>'Por año'!H85</f>
        <v>0.7789</v>
      </c>
      <c r="I6" s="61">
        <f>'Por año'!I85</f>
        <v>6.92</v>
      </c>
    </row>
    <row r="7">
      <c r="A7" s="61" t="str">
        <f>'Por año'!A104</f>
        <v>19-20</v>
      </c>
      <c r="B7" s="61" t="str">
        <f>'Por año'!B104</f>
        <v>Física</v>
      </c>
      <c r="C7" s="20">
        <f>'Por año'!C104</f>
        <v>28</v>
      </c>
      <c r="D7" s="61" t="str">
        <f t="shared" si="1"/>
        <v>19-20(28)</v>
      </c>
      <c r="E7" s="21">
        <f>'Por año'!E104</f>
        <v>0.7778</v>
      </c>
      <c r="F7" s="61">
        <f>'Por año'!F104</f>
        <v>7.046</v>
      </c>
      <c r="G7" s="61">
        <f>'Por año'!G104</f>
        <v>7.3</v>
      </c>
      <c r="H7" s="21">
        <f>'Por año'!H104</f>
        <v>0.8166</v>
      </c>
      <c r="I7" s="61">
        <f>'Por año'!I104</f>
        <v>7.081</v>
      </c>
    </row>
    <row r="8">
      <c r="A8" s="61" t="str">
        <f>'Por año'!A123</f>
        <v>18-19</v>
      </c>
      <c r="B8" s="61" t="str">
        <f>'Por año'!B123</f>
        <v>Física</v>
      </c>
      <c r="C8" s="61">
        <f>'Por año'!C123</f>
        <v>17</v>
      </c>
      <c r="D8" s="61" t="str">
        <f t="shared" si="1"/>
        <v>18-19(17)</v>
      </c>
      <c r="E8" s="21">
        <f>'Por año'!E123</f>
        <v>0.7647</v>
      </c>
      <c r="F8" s="61">
        <f>'Por año'!F123</f>
        <v>6.588</v>
      </c>
      <c r="G8" s="61">
        <f>'Por año'!G123</f>
        <v>7.62</v>
      </c>
      <c r="H8" s="21">
        <f>'Por año'!H123</f>
        <v>0.528</v>
      </c>
      <c r="I8" s="61">
        <f>'Por año'!I123</f>
        <v>4.948</v>
      </c>
    </row>
    <row r="9">
      <c r="A9" s="61" t="str">
        <f>'Por año'!A142</f>
        <v>17-18</v>
      </c>
      <c r="B9" s="61" t="str">
        <f>'Por año'!B142</f>
        <v>Física</v>
      </c>
      <c r="C9" s="20">
        <f>'Por año'!C142</f>
        <v>15</v>
      </c>
      <c r="D9" s="61" t="str">
        <f t="shared" si="1"/>
        <v>17-18(15)</v>
      </c>
      <c r="E9" s="21">
        <f>'Por año'!E142</f>
        <v>0.5333</v>
      </c>
      <c r="F9" s="61">
        <f>'Por año'!F142</f>
        <v>5.95</v>
      </c>
      <c r="G9" s="61">
        <f>'Por año'!G142</f>
        <v>7.35</v>
      </c>
      <c r="H9" s="21">
        <f>'Por año'!H142</f>
        <v>0.5652</v>
      </c>
      <c r="I9" s="61">
        <f>'Por año'!I142</f>
        <v>5.255</v>
      </c>
    </row>
    <row r="10">
      <c r="A10" s="61" t="str">
        <f>'Por año'!A161</f>
        <v>16-17</v>
      </c>
      <c r="B10" s="61" t="str">
        <f>'Por año'!B161</f>
        <v>Física</v>
      </c>
      <c r="C10" s="20">
        <f>'Por año'!C161</f>
        <v>18</v>
      </c>
      <c r="D10" s="61" t="str">
        <f t="shared" si="1"/>
        <v>16-17(18)</v>
      </c>
      <c r="E10" s="21">
        <f>'Por año'!E161</f>
        <v>0.7778</v>
      </c>
      <c r="F10" s="61">
        <f>'Por año'!F161</f>
        <v>6.458</v>
      </c>
      <c r="G10" s="61">
        <f>'Por año'!G161</f>
        <v>6.86</v>
      </c>
      <c r="H10" s="21">
        <f>'Por año'!H161</f>
        <v>0.667</v>
      </c>
      <c r="I10" s="61">
        <f>'Por año'!I161</f>
        <v>5.722</v>
      </c>
      <c r="J10" s="61" t="str">
        <f>'Por año'!K172</f>
        <v/>
      </c>
    </row>
    <row r="11">
      <c r="A11" s="61" t="str">
        <f>'Por año'!A173</f>
        <v/>
      </c>
      <c r="B11" s="61" t="str">
        <f>'Por año'!B173</f>
        <v/>
      </c>
      <c r="C11" s="20" t="str">
        <f>'Por año'!C173</f>
        <v/>
      </c>
      <c r="E11" s="61" t="str">
        <f>'Por año'!E173</f>
        <v/>
      </c>
      <c r="F11" s="61" t="str">
        <f>'Por año'!F173</f>
        <v/>
      </c>
      <c r="H11" s="21" t="str">
        <f>'Por año'!H173</f>
        <v/>
      </c>
      <c r="I11" s="61" t="str">
        <f>'Por año'!I173</f>
        <v/>
      </c>
      <c r="J11" s="61" t="str">
        <f>'Por año'!K173</f>
        <v/>
      </c>
    </row>
    <row r="12">
      <c r="A12" s="61" t="str">
        <f>'Por año'!A174</f>
        <v/>
      </c>
      <c r="B12" s="61" t="str">
        <f>'Por año'!B174</f>
        <v/>
      </c>
      <c r="C12" s="20" t="str">
        <f>'Por año'!C174</f>
        <v/>
      </c>
      <c r="E12" s="61" t="str">
        <f>'Por año'!E174</f>
        <v/>
      </c>
      <c r="F12" s="61" t="str">
        <f>'Por año'!F174</f>
        <v/>
      </c>
      <c r="H12" s="21" t="str">
        <f>'Por año'!H174</f>
        <v/>
      </c>
      <c r="I12" s="61" t="str">
        <f>'Por año'!I174</f>
        <v/>
      </c>
      <c r="J12" s="61" t="str">
        <f>'Por año'!K174</f>
        <v/>
      </c>
    </row>
    <row r="13">
      <c r="A13" s="61" t="str">
        <f>'Por año'!A175</f>
        <v/>
      </c>
      <c r="B13" s="61" t="str">
        <f>'Por año'!B175</f>
        <v/>
      </c>
      <c r="C13" s="20" t="str">
        <f>'Por año'!C175</f>
        <v/>
      </c>
      <c r="E13" s="61" t="str">
        <f>'Por año'!E175</f>
        <v/>
      </c>
      <c r="F13" s="61" t="str">
        <f>'Por año'!F175</f>
        <v/>
      </c>
      <c r="H13" s="21" t="str">
        <f>'Por año'!H175</f>
        <v/>
      </c>
      <c r="I13" s="61" t="str">
        <f>'Por año'!I175</f>
        <v/>
      </c>
      <c r="J13" s="61" t="str">
        <f>'Por año'!K175</f>
        <v/>
      </c>
    </row>
    <row r="14">
      <c r="A14" s="61" t="str">
        <f>'Por año'!A176</f>
        <v/>
      </c>
      <c r="B14" s="61" t="str">
        <f>'Por año'!B176</f>
        <v/>
      </c>
      <c r="C14" s="20" t="str">
        <f>'Por año'!C176</f>
        <v/>
      </c>
      <c r="E14" s="61" t="str">
        <f>'Por año'!E176</f>
        <v/>
      </c>
      <c r="F14" s="61" t="str">
        <f>'Por año'!F176</f>
        <v/>
      </c>
      <c r="H14" s="21" t="str">
        <f>'Por año'!H176</f>
        <v/>
      </c>
      <c r="I14" s="61" t="str">
        <f>'Por año'!I176</f>
        <v/>
      </c>
      <c r="J14" s="61" t="str">
        <f>'Por año'!K176</f>
        <v/>
      </c>
    </row>
    <row r="15">
      <c r="A15" s="61" t="str">
        <f>'Por año'!A177</f>
        <v/>
      </c>
      <c r="B15" s="61" t="str">
        <f>'Por año'!B177</f>
        <v/>
      </c>
      <c r="C15" s="20" t="str">
        <f>'Por año'!C177</f>
        <v/>
      </c>
      <c r="E15" s="61" t="str">
        <f>'Por año'!E177</f>
        <v/>
      </c>
      <c r="F15" s="61" t="str">
        <f>'Por año'!F177</f>
        <v/>
      </c>
      <c r="H15" s="21" t="str">
        <f>'Por año'!H177</f>
        <v/>
      </c>
      <c r="I15" s="61" t="str">
        <f>'Por año'!I177</f>
        <v/>
      </c>
      <c r="J15" s="61" t="str">
        <f>'Por año'!K177</f>
        <v/>
      </c>
    </row>
    <row r="16">
      <c r="A16" s="61" t="str">
        <f>'Por año'!A178</f>
        <v/>
      </c>
      <c r="B16" s="61" t="str">
        <f>'Por año'!B178</f>
        <v/>
      </c>
      <c r="C16" s="20" t="str">
        <f>'Por año'!C178</f>
        <v/>
      </c>
      <c r="E16" s="61" t="str">
        <f>'Por año'!E178</f>
        <v/>
      </c>
      <c r="F16" s="61" t="str">
        <f>'Por año'!F178</f>
        <v/>
      </c>
      <c r="H16" s="21" t="str">
        <f>'Por año'!H178</f>
        <v/>
      </c>
      <c r="I16" s="61" t="str">
        <f>'Por año'!I178</f>
        <v/>
      </c>
      <c r="J16" s="61" t="str">
        <f>'Por año'!K178</f>
        <v/>
      </c>
    </row>
    <row r="17">
      <c r="A17" s="61" t="str">
        <f>'Por año'!A179</f>
        <v/>
      </c>
      <c r="B17" s="61" t="str">
        <f>'Por año'!B179</f>
        <v/>
      </c>
      <c r="C17" s="20" t="str">
        <f>'Por año'!C179</f>
        <v/>
      </c>
      <c r="E17" s="61" t="str">
        <f>'Por año'!E179</f>
        <v/>
      </c>
      <c r="F17" s="61" t="str">
        <f>'Por año'!F179</f>
        <v/>
      </c>
      <c r="H17" s="21" t="str">
        <f>'Por año'!H179</f>
        <v/>
      </c>
      <c r="I17" s="61" t="str">
        <f>'Por año'!I179</f>
        <v/>
      </c>
      <c r="J17" s="61" t="str">
        <f>'Por año'!K179</f>
        <v/>
      </c>
    </row>
    <row r="18">
      <c r="A18" s="61" t="str">
        <f>'Por año'!A180</f>
        <v/>
      </c>
      <c r="B18" s="61" t="str">
        <f>'Por año'!B180</f>
        <v/>
      </c>
      <c r="C18" s="20" t="str">
        <f>'Por año'!C180</f>
        <v/>
      </c>
      <c r="E18" s="61" t="str">
        <f>'Por año'!E180</f>
        <v/>
      </c>
      <c r="F18" s="61" t="str">
        <f>'Por año'!F180</f>
        <v/>
      </c>
      <c r="H18" s="21" t="str">
        <f>'Por año'!H180</f>
        <v/>
      </c>
      <c r="I18" s="61" t="str">
        <f>'Por año'!I180</f>
        <v/>
      </c>
      <c r="J18" s="61" t="str">
        <f>'Por año'!K180</f>
        <v/>
      </c>
    </row>
    <row r="19">
      <c r="A19" s="61" t="str">
        <f>'Por año'!A181</f>
        <v/>
      </c>
      <c r="B19" s="61" t="str">
        <f>'Por año'!B181</f>
        <v/>
      </c>
      <c r="C19" s="20" t="str">
        <f>'Por año'!C181</f>
        <v/>
      </c>
      <c r="E19" s="61" t="str">
        <f>'Por año'!E181</f>
        <v/>
      </c>
      <c r="F19" s="61" t="str">
        <f>'Por año'!F181</f>
        <v/>
      </c>
      <c r="H19" s="21" t="str">
        <f>'Por año'!H181</f>
        <v/>
      </c>
      <c r="I19" s="61" t="str">
        <f>'Por año'!I181</f>
        <v/>
      </c>
      <c r="J19" s="61" t="str">
        <f>'Por año'!K181</f>
        <v/>
      </c>
    </row>
    <row r="20">
      <c r="A20" s="61" t="str">
        <f>'Por año'!A182</f>
        <v/>
      </c>
      <c r="B20" s="61" t="str">
        <f>'Por año'!B182</f>
        <v/>
      </c>
      <c r="C20" s="20" t="str">
        <f>'Por año'!C182</f>
        <v/>
      </c>
      <c r="E20" s="61" t="str">
        <f>'Por año'!E182</f>
        <v/>
      </c>
      <c r="F20" s="61" t="str">
        <f>'Por año'!F182</f>
        <v/>
      </c>
      <c r="H20" s="21" t="str">
        <f>'Por año'!H182</f>
        <v/>
      </c>
      <c r="I20" s="61" t="str">
        <f>'Por año'!I182</f>
        <v/>
      </c>
      <c r="J20" s="61" t="str">
        <f>'Por año'!K182</f>
        <v/>
      </c>
    </row>
    <row r="21">
      <c r="A21" s="61" t="str">
        <f>'Por año'!A183</f>
        <v/>
      </c>
      <c r="B21" s="61" t="str">
        <f>'Por año'!B183</f>
        <v/>
      </c>
      <c r="C21" s="20" t="str">
        <f>'Por año'!C183</f>
        <v/>
      </c>
      <c r="E21" s="61" t="str">
        <f>'Por año'!E183</f>
        <v/>
      </c>
      <c r="F21" s="61" t="str">
        <f>'Por año'!F183</f>
        <v/>
      </c>
      <c r="H21" s="21" t="str">
        <f>'Por año'!H183</f>
        <v/>
      </c>
      <c r="I21" s="61" t="str">
        <f>'Por año'!I183</f>
        <v/>
      </c>
      <c r="J21" s="61" t="str">
        <f>'Por año'!K183</f>
        <v/>
      </c>
    </row>
    <row r="22">
      <c r="A22" s="61" t="str">
        <f>'Por año'!A184</f>
        <v/>
      </c>
      <c r="B22" s="61" t="str">
        <f>'Por año'!B184</f>
        <v/>
      </c>
      <c r="C22" s="20" t="str">
        <f>'Por año'!C184</f>
        <v/>
      </c>
      <c r="E22" s="61" t="str">
        <f>'Por año'!E184</f>
        <v/>
      </c>
      <c r="F22" s="61" t="str">
        <f>'Por año'!F184</f>
        <v/>
      </c>
      <c r="H22" s="21" t="str">
        <f>'Por año'!H184</f>
        <v/>
      </c>
      <c r="I22" s="61" t="str">
        <f>'Por año'!I184</f>
        <v/>
      </c>
      <c r="J22" s="61" t="str">
        <f>'Por año'!K184</f>
        <v/>
      </c>
    </row>
    <row r="23">
      <c r="A23" s="61" t="str">
        <f>'Por año'!A185</f>
        <v/>
      </c>
      <c r="B23" s="61" t="str">
        <f>'Por año'!B185</f>
        <v/>
      </c>
      <c r="C23" s="20" t="str">
        <f>'Por año'!C185</f>
        <v/>
      </c>
      <c r="E23" s="61" t="str">
        <f>'Por año'!E185</f>
        <v/>
      </c>
      <c r="F23" s="61" t="str">
        <f>'Por año'!F185</f>
        <v/>
      </c>
      <c r="H23" s="21" t="str">
        <f>'Por año'!H185</f>
        <v/>
      </c>
      <c r="I23" s="61" t="str">
        <f>'Por año'!I185</f>
        <v/>
      </c>
      <c r="J23" s="61" t="str">
        <f>'Por año'!K185</f>
        <v/>
      </c>
    </row>
    <row r="24">
      <c r="A24" s="61" t="str">
        <f>'Por año'!A186</f>
        <v/>
      </c>
      <c r="B24" s="61" t="str">
        <f>'Por año'!B186</f>
        <v/>
      </c>
      <c r="C24" s="20" t="str">
        <f>'Por año'!C186</f>
        <v/>
      </c>
      <c r="E24" s="61" t="str">
        <f>'Por año'!E186</f>
        <v/>
      </c>
      <c r="F24" s="61" t="str">
        <f>'Por año'!F186</f>
        <v/>
      </c>
      <c r="H24" s="21" t="str">
        <f>'Por año'!H186</f>
        <v/>
      </c>
      <c r="I24" s="61" t="str">
        <f>'Por año'!I186</f>
        <v/>
      </c>
      <c r="J24" s="61" t="str">
        <f>'Por año'!K186</f>
        <v/>
      </c>
    </row>
    <row r="25">
      <c r="A25" s="61" t="str">
        <f>'Por año'!A187</f>
        <v/>
      </c>
      <c r="B25" s="61" t="str">
        <f>'Por año'!B187</f>
        <v/>
      </c>
      <c r="C25" s="20" t="str">
        <f>'Por año'!C187</f>
        <v/>
      </c>
      <c r="E25" s="61" t="str">
        <f>'Por año'!E187</f>
        <v/>
      </c>
      <c r="F25" s="61" t="str">
        <f>'Por año'!F187</f>
        <v/>
      </c>
      <c r="H25" s="21" t="str">
        <f>'Por año'!H187</f>
        <v/>
      </c>
      <c r="I25" s="61" t="str">
        <f>'Por año'!I187</f>
        <v/>
      </c>
      <c r="J25" s="61" t="str">
        <f>'Por año'!K187</f>
        <v/>
      </c>
    </row>
    <row r="26">
      <c r="A26" s="61" t="str">
        <f>'Por año'!A188</f>
        <v/>
      </c>
      <c r="B26" s="61" t="str">
        <f>'Por año'!B188</f>
        <v/>
      </c>
      <c r="C26" s="20" t="str">
        <f>'Por año'!C188</f>
        <v/>
      </c>
      <c r="E26" s="61" t="str">
        <f>'Por año'!E188</f>
        <v/>
      </c>
      <c r="F26" s="61" t="str">
        <f>'Por año'!F188</f>
        <v/>
      </c>
      <c r="H26" s="21" t="str">
        <f>'Por año'!H188</f>
        <v/>
      </c>
      <c r="I26" s="61" t="str">
        <f>'Por año'!I188</f>
        <v/>
      </c>
      <c r="J26" s="61" t="str">
        <f>'Por año'!K188</f>
        <v/>
      </c>
    </row>
    <row r="27">
      <c r="A27" s="61" t="str">
        <f>'Por año'!A189</f>
        <v/>
      </c>
      <c r="B27" s="61" t="str">
        <f>'Por año'!B189</f>
        <v/>
      </c>
      <c r="C27" s="20" t="str">
        <f>'Por año'!C189</f>
        <v/>
      </c>
      <c r="E27" s="61" t="str">
        <f>'Por año'!E189</f>
        <v/>
      </c>
      <c r="F27" s="61" t="str">
        <f>'Por año'!F189</f>
        <v/>
      </c>
      <c r="H27" s="21" t="str">
        <f>'Por año'!H189</f>
        <v/>
      </c>
      <c r="I27" s="61" t="str">
        <f>'Por año'!I189</f>
        <v/>
      </c>
      <c r="J27" s="61" t="str">
        <f>'Por año'!K189</f>
        <v/>
      </c>
    </row>
    <row r="28">
      <c r="A28" s="61" t="str">
        <f>'Por año'!A190</f>
        <v/>
      </c>
      <c r="B28" s="61" t="str">
        <f>'Por año'!B190</f>
        <v/>
      </c>
      <c r="C28" s="20" t="str">
        <f>'Por año'!C190</f>
        <v/>
      </c>
      <c r="E28" s="61" t="str">
        <f>'Por año'!E190</f>
        <v/>
      </c>
      <c r="F28" s="61" t="str">
        <f>'Por año'!F190</f>
        <v/>
      </c>
      <c r="H28" s="21" t="str">
        <f>'Por año'!H190</f>
        <v/>
      </c>
      <c r="I28" s="61" t="str">
        <f>'Por año'!I190</f>
        <v/>
      </c>
      <c r="J28" s="61" t="str">
        <f>'Por año'!K190</f>
        <v/>
      </c>
    </row>
    <row r="29">
      <c r="A29" s="61" t="str">
        <f>'Por año'!A191</f>
        <v/>
      </c>
      <c r="B29" s="61" t="str">
        <f>'Por año'!B191</f>
        <v/>
      </c>
      <c r="C29" s="20" t="str">
        <f>'Por año'!C191</f>
        <v/>
      </c>
      <c r="E29" s="61" t="str">
        <f>'Por año'!E191</f>
        <v/>
      </c>
      <c r="F29" s="61" t="str">
        <f>'Por año'!F191</f>
        <v/>
      </c>
      <c r="H29" s="21" t="str">
        <f>'Por año'!H191</f>
        <v/>
      </c>
      <c r="I29" s="61" t="str">
        <f>'Por año'!I191</f>
        <v/>
      </c>
      <c r="J29" s="61" t="str">
        <f>'Por año'!K191</f>
        <v/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9.63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año'!A10</f>
        <v>24-25</v>
      </c>
      <c r="B2" s="61" t="str">
        <f>'Por año'!B10</f>
        <v>Química</v>
      </c>
      <c r="C2" s="20">
        <f>'Por año'!C10</f>
        <v>15</v>
      </c>
      <c r="D2" s="61" t="str">
        <f t="shared" ref="D2:D10" si="1">CONCATENATE(A2,"(",C2,")")</f>
        <v>24-25(15)</v>
      </c>
      <c r="E2" s="21">
        <f>'Por año'!E10</f>
        <v>0.8667</v>
      </c>
      <c r="F2" s="61">
        <f>'Por año'!F10</f>
        <v>6.68</v>
      </c>
      <c r="G2" s="61">
        <f>'Por año'!G10</f>
        <v>7.05</v>
      </c>
      <c r="H2" s="21">
        <f>'Por año'!H10</f>
        <v>0.7366</v>
      </c>
      <c r="I2" s="61">
        <f>'Por año'!I10</f>
        <v>6.11</v>
      </c>
    </row>
    <row r="3">
      <c r="A3" s="61" t="str">
        <f>'Por año'!A29</f>
        <v>23-24</v>
      </c>
      <c r="B3" s="61" t="str">
        <f>'Por año'!B29</f>
        <v>Química</v>
      </c>
      <c r="C3" s="20">
        <f>'Por año'!C29</f>
        <v>28</v>
      </c>
      <c r="D3" s="61" t="str">
        <f t="shared" si="1"/>
        <v>23-24(28)</v>
      </c>
      <c r="E3" s="21">
        <f>'Por año'!E29</f>
        <v>0.7857</v>
      </c>
      <c r="F3" s="61">
        <f>'Por año'!F29</f>
        <v>6.1</v>
      </c>
      <c r="G3" s="61">
        <f>'Por año'!G29</f>
        <v>7.46</v>
      </c>
      <c r="H3" s="21">
        <f>'Por año'!H29</f>
        <v>0.7797</v>
      </c>
      <c r="I3" s="61">
        <f>'Por año'!I29</f>
        <v>6.48</v>
      </c>
    </row>
    <row r="4">
      <c r="A4" s="61" t="str">
        <f>'Por año'!A48</f>
        <v>22-23</v>
      </c>
      <c r="B4" s="61" t="str">
        <f>'Por año'!B48</f>
        <v>Química</v>
      </c>
      <c r="C4" s="20">
        <f>'Por año'!C48</f>
        <v>13</v>
      </c>
      <c r="D4" s="61" t="str">
        <f t="shared" si="1"/>
        <v>22-23(13)</v>
      </c>
      <c r="E4" s="21">
        <f>'Por año'!E48</f>
        <v>0.7143</v>
      </c>
      <c r="F4" s="61">
        <f>'Por año'!F48</f>
        <v>6.68</v>
      </c>
      <c r="G4" s="61">
        <f>'Por año'!G48</f>
        <v>6.68</v>
      </c>
      <c r="H4" s="21">
        <f>'Por año'!H48</f>
        <v>0.8145</v>
      </c>
      <c r="I4" s="61">
        <f>'Por año'!I48</f>
        <v>6.81</v>
      </c>
    </row>
    <row r="5">
      <c r="A5" s="61" t="str">
        <f>'Por año'!A67</f>
        <v>21-22</v>
      </c>
      <c r="B5" s="61" t="str">
        <f>'Por año'!B67</f>
        <v>Química</v>
      </c>
      <c r="C5" s="20">
        <f>'Por año'!C67</f>
        <v>19</v>
      </c>
      <c r="D5" s="61" t="str">
        <f t="shared" si="1"/>
        <v>21-22(19)</v>
      </c>
      <c r="E5" s="21">
        <f>'Por año'!E67</f>
        <v>0.7895</v>
      </c>
      <c r="F5" s="61">
        <f>'Por año'!F67</f>
        <v>7.01</v>
      </c>
      <c r="G5" s="61">
        <f>'Por año'!G67</f>
        <v>7.62</v>
      </c>
      <c r="H5" s="21">
        <f>'Por año'!H67</f>
        <v>0.8481</v>
      </c>
      <c r="I5" s="61">
        <f>'Por año'!I67</f>
        <v>7.06</v>
      </c>
    </row>
    <row r="6">
      <c r="A6" s="61" t="str">
        <f>'Por año'!A86</f>
        <v>20-21</v>
      </c>
      <c r="B6" s="61" t="str">
        <f>'Por año'!B86</f>
        <v>Química</v>
      </c>
      <c r="C6" s="20">
        <f>'Por año'!C86</f>
        <v>27</v>
      </c>
      <c r="D6" s="61" t="str">
        <f t="shared" si="1"/>
        <v>20-21(27)</v>
      </c>
      <c r="E6" s="21">
        <f>'Por año'!E86</f>
        <v>0.963</v>
      </c>
      <c r="F6" s="61">
        <f>'Por año'!F86</f>
        <v>7.71</v>
      </c>
      <c r="G6" s="61">
        <f>'Por año'!G86</f>
        <v>7.65</v>
      </c>
      <c r="H6" s="21">
        <f>'Por año'!H86</f>
        <v>0.9031</v>
      </c>
      <c r="I6" s="61">
        <f>'Por año'!I86</f>
        <v>7.6</v>
      </c>
    </row>
    <row r="7">
      <c r="A7" s="61" t="str">
        <f>'Por año'!A105</f>
        <v>19-20</v>
      </c>
      <c r="B7" s="61" t="str">
        <f>'Por año'!B105</f>
        <v>Química</v>
      </c>
      <c r="C7" s="20">
        <f>'Por año'!C105</f>
        <v>22</v>
      </c>
      <c r="D7" s="61" t="str">
        <f t="shared" si="1"/>
        <v>19-20(22)</v>
      </c>
      <c r="E7" s="21">
        <f>'Por año'!E105</f>
        <v>0.6818</v>
      </c>
      <c r="F7" s="61">
        <f>'Por año'!F105</f>
        <v>6.011</v>
      </c>
      <c r="G7" s="61">
        <f>'Por año'!G105</f>
        <v>7.37</v>
      </c>
      <c r="H7" s="21">
        <f>'Por año'!H105</f>
        <v>0.6973</v>
      </c>
      <c r="I7" s="61">
        <f>'Por año'!I105</f>
        <v>6.104</v>
      </c>
    </row>
    <row r="8">
      <c r="A8" s="61" t="str">
        <f>'Por año'!A124</f>
        <v>18-19</v>
      </c>
      <c r="B8" s="61" t="str">
        <f>'Por año'!B124</f>
        <v>Química</v>
      </c>
      <c r="C8" s="61">
        <f>'Por año'!C124</f>
        <v>14</v>
      </c>
      <c r="D8" s="61" t="str">
        <f t="shared" si="1"/>
        <v>18-19(14)</v>
      </c>
      <c r="E8" s="21">
        <f>'Por año'!E124</f>
        <v>1</v>
      </c>
      <c r="F8" s="61">
        <f>'Por año'!F124</f>
        <v>7.179</v>
      </c>
      <c r="G8" s="61">
        <f>'Por año'!G124</f>
        <v>7.52</v>
      </c>
      <c r="H8" s="21">
        <f>'Por año'!H124</f>
        <v>0.7729</v>
      </c>
      <c r="I8" s="61">
        <f>'Por año'!I124</f>
        <v>6.604</v>
      </c>
    </row>
    <row r="9">
      <c r="A9" s="61" t="str">
        <f>'Por año'!A143</f>
        <v>17-18</v>
      </c>
      <c r="B9" s="61" t="str">
        <f>'Por año'!B143</f>
        <v>Química</v>
      </c>
      <c r="C9" s="20">
        <f>'Por año'!C143</f>
        <v>14</v>
      </c>
      <c r="D9" s="61" t="str">
        <f t="shared" si="1"/>
        <v>17-18(14)</v>
      </c>
      <c r="E9" s="21">
        <f>'Por año'!E143</f>
        <v>0.8571</v>
      </c>
      <c r="F9" s="61">
        <f>'Por año'!F143</f>
        <v>6.393</v>
      </c>
      <c r="G9" s="61">
        <f>'Por año'!G143</f>
        <v>6.57</v>
      </c>
      <c r="H9" s="21">
        <f>'Por año'!H143</f>
        <v>0.7198</v>
      </c>
      <c r="I9" s="61">
        <f>'Por año'!I143</f>
        <v>6.094</v>
      </c>
    </row>
    <row r="10">
      <c r="A10" s="61" t="str">
        <f>'Por año'!A162</f>
        <v>16-17</v>
      </c>
      <c r="B10" s="61" t="str">
        <f>'Por año'!B162</f>
        <v>Química</v>
      </c>
      <c r="C10" s="20">
        <f>'Por año'!C162</f>
        <v>11</v>
      </c>
      <c r="D10" s="61" t="str">
        <f t="shared" si="1"/>
        <v>16-17(11)</v>
      </c>
      <c r="E10" s="21">
        <f>'Por año'!E162</f>
        <v>0.5455</v>
      </c>
      <c r="F10" s="61">
        <f>'Por año'!F162</f>
        <v>4.523</v>
      </c>
      <c r="G10" s="61">
        <f>'Por año'!G162</f>
        <v>6.95</v>
      </c>
      <c r="H10" s="21">
        <f>'Por año'!H162</f>
        <v>0.5361</v>
      </c>
      <c r="I10" s="61">
        <f>'Por año'!I162</f>
        <v>4.932</v>
      </c>
    </row>
    <row r="11">
      <c r="A11" s="61" t="str">
        <f>'Por año'!A173</f>
        <v/>
      </c>
      <c r="B11" s="61" t="str">
        <f>'Por año'!B173</f>
        <v/>
      </c>
      <c r="C11" s="20" t="str">
        <f>'Por año'!C173</f>
        <v/>
      </c>
      <c r="E11" s="61" t="str">
        <f>'Por año'!E173</f>
        <v/>
      </c>
      <c r="F11" s="61" t="str">
        <f>'Por año'!F173</f>
        <v/>
      </c>
      <c r="H11" s="21" t="str">
        <f>'Por año'!H173</f>
        <v/>
      </c>
      <c r="I11" s="61" t="str">
        <f>'Por año'!I173</f>
        <v/>
      </c>
      <c r="J11" s="61" t="str">
        <f>'Por año'!K173</f>
        <v/>
      </c>
    </row>
    <row r="12">
      <c r="A12" s="61" t="str">
        <f>'Por año'!A174</f>
        <v/>
      </c>
      <c r="B12" s="61" t="str">
        <f>'Por año'!B174</f>
        <v/>
      </c>
      <c r="C12" s="20" t="str">
        <f>'Por año'!C174</f>
        <v/>
      </c>
      <c r="E12" s="61" t="str">
        <f>'Por año'!E174</f>
        <v/>
      </c>
      <c r="F12" s="61" t="str">
        <f>'Por año'!F174</f>
        <v/>
      </c>
      <c r="H12" s="21" t="str">
        <f>'Por año'!H174</f>
        <v/>
      </c>
      <c r="I12" s="61" t="str">
        <f>'Por año'!I174</f>
        <v/>
      </c>
      <c r="J12" s="61" t="str">
        <f>'Por año'!K174</f>
        <v/>
      </c>
    </row>
    <row r="13">
      <c r="A13" s="61" t="str">
        <f>'Por año'!A175</f>
        <v/>
      </c>
      <c r="B13" s="61" t="str">
        <f>'Por año'!B175</f>
        <v/>
      </c>
      <c r="C13" s="20" t="str">
        <f>'Por año'!C175</f>
        <v/>
      </c>
      <c r="E13" s="61" t="str">
        <f>'Por año'!E175</f>
        <v/>
      </c>
      <c r="F13" s="61" t="str">
        <f>'Por año'!F175</f>
        <v/>
      </c>
      <c r="H13" s="21" t="str">
        <f>'Por año'!H175</f>
        <v/>
      </c>
      <c r="I13" s="61" t="str">
        <f>'Por año'!I175</f>
        <v/>
      </c>
      <c r="J13" s="61" t="str">
        <f>'Por año'!K175</f>
        <v/>
      </c>
    </row>
    <row r="14">
      <c r="A14" s="61" t="str">
        <f>'Por año'!A176</f>
        <v/>
      </c>
      <c r="B14" s="61" t="str">
        <f>'Por año'!B176</f>
        <v/>
      </c>
      <c r="C14" s="20" t="str">
        <f>'Por año'!C176</f>
        <v/>
      </c>
      <c r="E14" s="61" t="str">
        <f>'Por año'!E176</f>
        <v/>
      </c>
      <c r="F14" s="61" t="str">
        <f>'Por año'!F176</f>
        <v/>
      </c>
      <c r="H14" s="21" t="str">
        <f>'Por año'!H176</f>
        <v/>
      </c>
      <c r="I14" s="61" t="str">
        <f>'Por año'!I176</f>
        <v/>
      </c>
      <c r="J14" s="61" t="str">
        <f>'Por año'!K176</f>
        <v/>
      </c>
    </row>
    <row r="15">
      <c r="A15" s="61" t="str">
        <f>'Por año'!A177</f>
        <v/>
      </c>
      <c r="B15" s="61" t="str">
        <f>'Por año'!B177</f>
        <v/>
      </c>
      <c r="C15" s="20" t="str">
        <f>'Por año'!C177</f>
        <v/>
      </c>
      <c r="E15" s="61" t="str">
        <f>'Por año'!E177</f>
        <v/>
      </c>
      <c r="F15" s="61" t="str">
        <f>'Por año'!F177</f>
        <v/>
      </c>
      <c r="H15" s="21" t="str">
        <f>'Por año'!H177</f>
        <v/>
      </c>
      <c r="I15" s="61" t="str">
        <f>'Por año'!I177</f>
        <v/>
      </c>
      <c r="J15" s="61" t="str">
        <f>'Por año'!K177</f>
        <v/>
      </c>
    </row>
    <row r="16">
      <c r="A16" s="61" t="str">
        <f>'Por año'!A178</f>
        <v/>
      </c>
      <c r="B16" s="61" t="str">
        <f>'Por año'!B178</f>
        <v/>
      </c>
      <c r="C16" s="20" t="str">
        <f>'Por año'!C178</f>
        <v/>
      </c>
      <c r="E16" s="61" t="str">
        <f>'Por año'!E178</f>
        <v/>
      </c>
      <c r="F16" s="61" t="str">
        <f>'Por año'!F178</f>
        <v/>
      </c>
      <c r="H16" s="21" t="str">
        <f>'Por año'!H178</f>
        <v/>
      </c>
      <c r="I16" s="61" t="str">
        <f>'Por año'!I178</f>
        <v/>
      </c>
      <c r="J16" s="61" t="str">
        <f>'Por año'!K178</f>
        <v/>
      </c>
    </row>
    <row r="17">
      <c r="A17" s="61" t="str">
        <f>'Por año'!A179</f>
        <v/>
      </c>
      <c r="B17" s="61" t="str">
        <f>'Por año'!B179</f>
        <v/>
      </c>
      <c r="C17" s="20" t="str">
        <f>'Por año'!C179</f>
        <v/>
      </c>
      <c r="E17" s="61" t="str">
        <f>'Por año'!E179</f>
        <v/>
      </c>
      <c r="F17" s="61" t="str">
        <f>'Por año'!F179</f>
        <v/>
      </c>
      <c r="H17" s="21" t="str">
        <f>'Por año'!H179</f>
        <v/>
      </c>
      <c r="I17" s="61" t="str">
        <f>'Por año'!I179</f>
        <v/>
      </c>
      <c r="J17" s="61" t="str">
        <f>'Por año'!K179</f>
        <v/>
      </c>
    </row>
    <row r="18">
      <c r="A18" s="61" t="str">
        <f>'Por año'!A180</f>
        <v/>
      </c>
      <c r="B18" s="61" t="str">
        <f>'Por año'!B180</f>
        <v/>
      </c>
      <c r="C18" s="20" t="str">
        <f>'Por año'!C180</f>
        <v/>
      </c>
      <c r="E18" s="61" t="str">
        <f>'Por año'!E180</f>
        <v/>
      </c>
      <c r="F18" s="61" t="str">
        <f>'Por año'!F180</f>
        <v/>
      </c>
      <c r="H18" s="21" t="str">
        <f>'Por año'!H180</f>
        <v/>
      </c>
      <c r="I18" s="61" t="str">
        <f>'Por año'!I180</f>
        <v/>
      </c>
      <c r="J18" s="61" t="str">
        <f>'Por año'!K180</f>
        <v/>
      </c>
    </row>
    <row r="19">
      <c r="A19" s="61" t="str">
        <f>'Por año'!A181</f>
        <v/>
      </c>
      <c r="B19" s="61" t="str">
        <f>'Por año'!B181</f>
        <v/>
      </c>
      <c r="C19" s="20" t="str">
        <f>'Por año'!C181</f>
        <v/>
      </c>
      <c r="E19" s="61" t="str">
        <f>'Por año'!E181</f>
        <v/>
      </c>
      <c r="F19" s="61" t="str">
        <f>'Por año'!F181</f>
        <v/>
      </c>
      <c r="H19" s="21" t="str">
        <f>'Por año'!H181</f>
        <v/>
      </c>
      <c r="I19" s="61" t="str">
        <f>'Por año'!I181</f>
        <v/>
      </c>
      <c r="J19" s="61" t="str">
        <f>'Por año'!K181</f>
        <v/>
      </c>
    </row>
    <row r="20">
      <c r="A20" s="61" t="str">
        <f>'Por año'!A182</f>
        <v/>
      </c>
      <c r="B20" s="61" t="str">
        <f>'Por año'!B182</f>
        <v/>
      </c>
      <c r="C20" s="20" t="str">
        <f>'Por año'!C182</f>
        <v/>
      </c>
      <c r="E20" s="61" t="str">
        <f>'Por año'!E182</f>
        <v/>
      </c>
      <c r="F20" s="61" t="str">
        <f>'Por año'!F182</f>
        <v/>
      </c>
      <c r="H20" s="21" t="str">
        <f>'Por año'!H182</f>
        <v/>
      </c>
      <c r="I20" s="61" t="str">
        <f>'Por año'!I182</f>
        <v/>
      </c>
      <c r="J20" s="61" t="str">
        <f>'Por año'!K182</f>
        <v/>
      </c>
    </row>
    <row r="21">
      <c r="A21" s="61" t="str">
        <f>'Por año'!A183</f>
        <v/>
      </c>
      <c r="B21" s="61" t="str">
        <f>'Por año'!B183</f>
        <v/>
      </c>
      <c r="C21" s="20" t="str">
        <f>'Por año'!C183</f>
        <v/>
      </c>
      <c r="E21" s="61" t="str">
        <f>'Por año'!E183</f>
        <v/>
      </c>
      <c r="F21" s="61" t="str">
        <f>'Por año'!F183</f>
        <v/>
      </c>
      <c r="H21" s="21" t="str">
        <f>'Por año'!H183</f>
        <v/>
      </c>
      <c r="I21" s="61" t="str">
        <f>'Por año'!I183</f>
        <v/>
      </c>
      <c r="J21" s="61" t="str">
        <f>'Por año'!K183</f>
        <v/>
      </c>
    </row>
    <row r="22">
      <c r="A22" s="61" t="str">
        <f>'Por año'!A184</f>
        <v/>
      </c>
      <c r="B22" s="61" t="str">
        <f>'Por año'!B184</f>
        <v/>
      </c>
      <c r="C22" s="20" t="str">
        <f>'Por año'!C184</f>
        <v/>
      </c>
      <c r="E22" s="61" t="str">
        <f>'Por año'!E184</f>
        <v/>
      </c>
      <c r="F22" s="61" t="str">
        <f>'Por año'!F184</f>
        <v/>
      </c>
      <c r="H22" s="21" t="str">
        <f>'Por año'!H184</f>
        <v/>
      </c>
      <c r="I22" s="61" t="str">
        <f>'Por año'!I184</f>
        <v/>
      </c>
      <c r="J22" s="61" t="str">
        <f>'Por año'!K184</f>
        <v/>
      </c>
    </row>
    <row r="23">
      <c r="A23" s="61" t="str">
        <f>'Por año'!A185</f>
        <v/>
      </c>
      <c r="B23" s="61" t="str">
        <f>'Por año'!B185</f>
        <v/>
      </c>
      <c r="C23" s="20" t="str">
        <f>'Por año'!C185</f>
        <v/>
      </c>
      <c r="E23" s="61" t="str">
        <f>'Por año'!E185</f>
        <v/>
      </c>
      <c r="F23" s="61" t="str">
        <f>'Por año'!F185</f>
        <v/>
      </c>
      <c r="H23" s="21" t="str">
        <f>'Por año'!H185</f>
        <v/>
      </c>
      <c r="I23" s="61" t="str">
        <f>'Por año'!I185</f>
        <v/>
      </c>
      <c r="J23" s="61" t="str">
        <f>'Por año'!K185</f>
        <v/>
      </c>
    </row>
    <row r="24">
      <c r="A24" s="61" t="str">
        <f>'Por año'!A186</f>
        <v/>
      </c>
      <c r="B24" s="61" t="str">
        <f>'Por año'!B186</f>
        <v/>
      </c>
      <c r="C24" s="20" t="str">
        <f>'Por año'!C186</f>
        <v/>
      </c>
      <c r="E24" s="61" t="str">
        <f>'Por año'!E186</f>
        <v/>
      </c>
      <c r="F24" s="61" t="str">
        <f>'Por año'!F186</f>
        <v/>
      </c>
      <c r="H24" s="21" t="str">
        <f>'Por año'!H186</f>
        <v/>
      </c>
      <c r="I24" s="61" t="str">
        <f>'Por año'!I186</f>
        <v/>
      </c>
      <c r="J24" s="61" t="str">
        <f>'Por año'!K186</f>
        <v/>
      </c>
    </row>
    <row r="25">
      <c r="A25" s="61" t="str">
        <f>'Por año'!A187</f>
        <v/>
      </c>
      <c r="B25" s="61" t="str">
        <f>'Por año'!B187</f>
        <v/>
      </c>
      <c r="C25" s="20" t="str">
        <f>'Por año'!C187</f>
        <v/>
      </c>
      <c r="E25" s="61" t="str">
        <f>'Por año'!E187</f>
        <v/>
      </c>
      <c r="F25" s="61" t="str">
        <f>'Por año'!F187</f>
        <v/>
      </c>
      <c r="H25" s="21" t="str">
        <f>'Por año'!H187</f>
        <v/>
      </c>
      <c r="I25" s="61" t="str">
        <f>'Por año'!I187</f>
        <v/>
      </c>
      <c r="J25" s="61" t="str">
        <f>'Por año'!K187</f>
        <v/>
      </c>
    </row>
    <row r="26">
      <c r="A26" s="61" t="str">
        <f>'Por año'!A188</f>
        <v/>
      </c>
      <c r="B26" s="61" t="str">
        <f>'Por año'!B188</f>
        <v/>
      </c>
      <c r="C26" s="20" t="str">
        <f>'Por año'!C188</f>
        <v/>
      </c>
      <c r="E26" s="61" t="str">
        <f>'Por año'!E188</f>
        <v/>
      </c>
      <c r="F26" s="61" t="str">
        <f>'Por año'!F188</f>
        <v/>
      </c>
      <c r="H26" s="21" t="str">
        <f>'Por año'!H188</f>
        <v/>
      </c>
      <c r="I26" s="61" t="str">
        <f>'Por año'!I188</f>
        <v/>
      </c>
      <c r="J26" s="61" t="str">
        <f>'Por año'!K188</f>
        <v/>
      </c>
    </row>
    <row r="27">
      <c r="A27" s="61" t="str">
        <f>'Por año'!A189</f>
        <v/>
      </c>
      <c r="B27" s="61" t="str">
        <f>'Por año'!B189</f>
        <v/>
      </c>
      <c r="C27" s="20" t="str">
        <f>'Por año'!C189</f>
        <v/>
      </c>
      <c r="E27" s="61" t="str">
        <f>'Por año'!E189</f>
        <v/>
      </c>
      <c r="F27" s="61" t="str">
        <f>'Por año'!F189</f>
        <v/>
      </c>
      <c r="H27" s="21" t="str">
        <f>'Por año'!H189</f>
        <v/>
      </c>
      <c r="I27" s="61" t="str">
        <f>'Por año'!I189</f>
        <v/>
      </c>
      <c r="J27" s="61" t="str">
        <f>'Por año'!K189</f>
        <v/>
      </c>
    </row>
    <row r="28">
      <c r="A28" s="61" t="str">
        <f>'Por año'!A190</f>
        <v/>
      </c>
      <c r="B28" s="61" t="str">
        <f>'Por año'!B190</f>
        <v/>
      </c>
      <c r="C28" s="20" t="str">
        <f>'Por año'!C190</f>
        <v/>
      </c>
      <c r="E28" s="61" t="str">
        <f>'Por año'!E190</f>
        <v/>
      </c>
      <c r="F28" s="61" t="str">
        <f>'Por año'!F190</f>
        <v/>
      </c>
      <c r="H28" s="21" t="str">
        <f>'Por año'!H190</f>
        <v/>
      </c>
      <c r="I28" s="61" t="str">
        <f>'Por año'!I190</f>
        <v/>
      </c>
      <c r="J28" s="61" t="str">
        <f>'Por año'!K190</f>
        <v/>
      </c>
    </row>
    <row r="29">
      <c r="A29" s="61" t="str">
        <f>'Por año'!A191</f>
        <v/>
      </c>
      <c r="B29" s="61" t="str">
        <f>'Por año'!B191</f>
        <v/>
      </c>
      <c r="C29" s="20" t="str">
        <f>'Por año'!C191</f>
        <v/>
      </c>
      <c r="E29" s="61" t="str">
        <f>'Por año'!E191</f>
        <v/>
      </c>
      <c r="F29" s="61" t="str">
        <f>'Por año'!F191</f>
        <v/>
      </c>
      <c r="H29" s="21" t="str">
        <f>'Por año'!H191</f>
        <v/>
      </c>
      <c r="I29" s="61" t="str">
        <f>'Por año'!I191</f>
        <v/>
      </c>
      <c r="J29" s="61" t="str">
        <f>'Por año'!K191</f>
        <v/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8.25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año'!A11</f>
        <v>24-25</v>
      </c>
      <c r="B2" s="61" t="str">
        <f>'Por año'!B11</f>
        <v>Biología</v>
      </c>
      <c r="C2" s="20">
        <f>'Por año'!C11</f>
        <v>11</v>
      </c>
      <c r="D2" s="61" t="str">
        <f t="shared" ref="D2:D10" si="1">CONCATENATE(A2,"(",C2,")")</f>
        <v>24-25(11)</v>
      </c>
      <c r="E2" s="21">
        <f>'Por año'!E11</f>
        <v>0.5455</v>
      </c>
      <c r="F2" s="61">
        <f>'Por año'!F11</f>
        <v>5</v>
      </c>
      <c r="G2" s="61">
        <f>'Por año'!G11</f>
        <v>7.6</v>
      </c>
      <c r="H2" s="21">
        <f>'Por año'!H11</f>
        <v>0.6513</v>
      </c>
      <c r="I2" s="61">
        <f>'Por año'!I11</f>
        <v>5.64</v>
      </c>
    </row>
    <row r="3">
      <c r="A3" s="61" t="str">
        <f>'Por año'!A30</f>
        <v>23-24</v>
      </c>
      <c r="B3" s="61" t="str">
        <f>'Por año'!B30</f>
        <v>Biología</v>
      </c>
      <c r="C3" s="20">
        <f>'Por año'!C30</f>
        <v>10</v>
      </c>
      <c r="D3" s="61" t="str">
        <f t="shared" si="1"/>
        <v>23-24(10)</v>
      </c>
      <c r="E3" s="21">
        <f>'Por año'!E30</f>
        <v>0.6364</v>
      </c>
      <c r="F3" s="61">
        <f>'Por año'!F30</f>
        <v>5.75</v>
      </c>
      <c r="G3" s="61">
        <f>'Por año'!G30</f>
        <v>7.5</v>
      </c>
      <c r="H3" s="21">
        <f>'Por año'!H30</f>
        <v>0.7699</v>
      </c>
      <c r="I3" s="61">
        <f>'Por año'!I30</f>
        <v>6.29</v>
      </c>
    </row>
    <row r="4">
      <c r="A4" s="61" t="str">
        <f>'Por año'!A49</f>
        <v>22-23</v>
      </c>
      <c r="B4" s="61" t="str">
        <f>'Por año'!B49</f>
        <v>Biología</v>
      </c>
      <c r="C4" s="20">
        <f>'Por año'!C49</f>
        <v>6</v>
      </c>
      <c r="D4" s="61" t="str">
        <f t="shared" si="1"/>
        <v>22-23(6)</v>
      </c>
      <c r="E4" s="21">
        <f>'Por año'!E49</f>
        <v>0.8571</v>
      </c>
      <c r="F4" s="61">
        <f>'Por año'!F49</f>
        <v>6.71</v>
      </c>
      <c r="G4" s="61">
        <f>'Por año'!G49</f>
        <v>7.86</v>
      </c>
      <c r="H4" s="21">
        <f>'Por año'!H49</f>
        <v>0.7063</v>
      </c>
      <c r="I4" s="61">
        <f>'Por año'!I49</f>
        <v>6.02</v>
      </c>
    </row>
    <row r="5">
      <c r="A5" s="61" t="str">
        <f>'Por año'!A68</f>
        <v>21-22</v>
      </c>
      <c r="B5" s="61" t="str">
        <f>'Por año'!B68</f>
        <v>Biología</v>
      </c>
      <c r="C5" s="20">
        <f>'Por año'!C68</f>
        <v>10</v>
      </c>
      <c r="D5" s="61" t="str">
        <f t="shared" si="1"/>
        <v>21-22(10)</v>
      </c>
      <c r="E5" s="21">
        <f>'Por año'!E68</f>
        <v>0.9</v>
      </c>
      <c r="F5" s="61">
        <f>'Por año'!F68</f>
        <v>7.55</v>
      </c>
      <c r="G5" s="61">
        <f>'Por año'!G68</f>
        <v>7.76</v>
      </c>
      <c r="H5" s="21">
        <f>'Por año'!H68</f>
        <v>0.8845</v>
      </c>
      <c r="I5" s="61">
        <f>'Por año'!I68</f>
        <v>7.31</v>
      </c>
    </row>
    <row r="6">
      <c r="A6" s="61" t="str">
        <f>'Por año'!A87</f>
        <v>20-21</v>
      </c>
      <c r="B6" s="61" t="str">
        <f>'Por año'!B87</f>
        <v>Biología</v>
      </c>
      <c r="C6" s="20">
        <f>'Por año'!C87</f>
        <v>8</v>
      </c>
      <c r="D6" s="61" t="str">
        <f t="shared" si="1"/>
        <v>20-21(8)</v>
      </c>
      <c r="E6" s="21">
        <f>'Por año'!E87</f>
        <v>1</v>
      </c>
      <c r="F6" s="61">
        <f>'Por año'!F87</f>
        <v>7.47</v>
      </c>
      <c r="G6" s="61">
        <f>'Por año'!G87</f>
        <v>7.2</v>
      </c>
      <c r="H6" s="21">
        <f>'Por año'!H87</f>
        <v>0.8501</v>
      </c>
      <c r="I6" s="61">
        <f>'Por año'!I87</f>
        <v>7.14</v>
      </c>
    </row>
    <row r="7">
      <c r="A7" s="61" t="str">
        <f>'Por año'!A106</f>
        <v>19-20</v>
      </c>
      <c r="B7" s="61" t="str">
        <f>'Por año'!B106</f>
        <v>Biología</v>
      </c>
      <c r="C7" s="20">
        <f>'Por año'!C106</f>
        <v>11</v>
      </c>
      <c r="D7" s="61" t="str">
        <f t="shared" si="1"/>
        <v>19-20(11)</v>
      </c>
      <c r="E7" s="21">
        <f>'Por año'!E106</f>
        <v>0.9091</v>
      </c>
      <c r="F7" s="61">
        <f>'Por año'!F106</f>
        <v>7.5</v>
      </c>
      <c r="G7" s="61">
        <f>'Por año'!G106</f>
        <v>8.31</v>
      </c>
      <c r="H7" s="21">
        <f>'Por año'!H106</f>
        <v>0.7162</v>
      </c>
      <c r="I7" s="61">
        <f>'Por año'!I106</f>
        <v>6.326</v>
      </c>
    </row>
    <row r="8">
      <c r="A8" s="61" t="str">
        <f>'Por año'!A125</f>
        <v>18-19</v>
      </c>
      <c r="B8" s="61" t="str">
        <f>'Por año'!B125</f>
        <v>Biología</v>
      </c>
      <c r="C8" s="61">
        <f>'Por año'!C125</f>
        <v>9</v>
      </c>
      <c r="D8" s="61" t="str">
        <f t="shared" si="1"/>
        <v>18-19(9)</v>
      </c>
      <c r="E8" s="21">
        <f>'Por año'!E125</f>
        <v>0.8889</v>
      </c>
      <c r="F8" s="61">
        <f>'Por año'!F125</f>
        <v>7.306</v>
      </c>
      <c r="G8" s="61">
        <f>'Por año'!G125</f>
        <v>8</v>
      </c>
      <c r="H8" s="21">
        <f>'Por año'!H125</f>
        <v>0.781</v>
      </c>
      <c r="I8" s="61">
        <f>'Por año'!I125</f>
        <v>6.364</v>
      </c>
    </row>
    <row r="9">
      <c r="A9" s="61" t="str">
        <f>'Por año'!A144</f>
        <v>17-18</v>
      </c>
      <c r="B9" s="61" t="str">
        <f>'Por año'!B144</f>
        <v>Biología</v>
      </c>
      <c r="C9" s="20">
        <f>'Por año'!C144</f>
        <v>9</v>
      </c>
      <c r="D9" s="61" t="str">
        <f t="shared" si="1"/>
        <v>17-18(9)</v>
      </c>
      <c r="E9" s="21">
        <f>'Por año'!E144</f>
        <v>0.8889</v>
      </c>
      <c r="F9" s="61">
        <f>'Por año'!F144</f>
        <v>6.778</v>
      </c>
      <c r="G9" s="61">
        <f>'Por año'!G144</f>
        <v>7.15</v>
      </c>
      <c r="H9" s="21">
        <f>'Por año'!H144</f>
        <v>0.7085</v>
      </c>
      <c r="I9" s="61">
        <f>'Por año'!I144</f>
        <v>5.995</v>
      </c>
    </row>
    <row r="10">
      <c r="A10" s="61" t="str">
        <f>'Por año'!A163</f>
        <v>16-17</v>
      </c>
      <c r="B10" s="61" t="str">
        <f>'Por año'!B163</f>
        <v>Biología</v>
      </c>
      <c r="C10" s="20">
        <f>'Por año'!C163</f>
        <v>6</v>
      </c>
      <c r="D10" s="61" t="str">
        <f t="shared" si="1"/>
        <v>16-17(6)</v>
      </c>
      <c r="E10" s="21">
        <f>'Por año'!E163</f>
        <v>1</v>
      </c>
      <c r="F10" s="61">
        <f>'Por año'!F163</f>
        <v>7.292</v>
      </c>
      <c r="G10" s="61">
        <f>'Por año'!G163</f>
        <v>7.09</v>
      </c>
      <c r="H10" s="21">
        <f>'Por año'!H163</f>
        <v>0.8633</v>
      </c>
      <c r="I10" s="61">
        <f>'Por año'!I163</f>
        <v>6.964</v>
      </c>
    </row>
    <row r="11">
      <c r="A11" s="61" t="str">
        <f>'Por año'!A173</f>
        <v/>
      </c>
      <c r="B11" s="61" t="str">
        <f>'Por año'!B173</f>
        <v/>
      </c>
      <c r="C11" s="20" t="str">
        <f>'Por año'!C173</f>
        <v/>
      </c>
      <c r="E11" s="61" t="str">
        <f>'Por año'!E173</f>
        <v/>
      </c>
      <c r="F11" s="61" t="str">
        <f>'Por año'!F173</f>
        <v/>
      </c>
      <c r="H11" s="21" t="str">
        <f>'Por año'!H173</f>
        <v/>
      </c>
      <c r="I11" s="61" t="str">
        <f>'Por año'!I173</f>
        <v/>
      </c>
      <c r="J11" s="61" t="str">
        <f>'Por año'!K173</f>
        <v/>
      </c>
    </row>
    <row r="12">
      <c r="A12" s="61" t="str">
        <f>'Por año'!A174</f>
        <v/>
      </c>
      <c r="B12" s="61" t="str">
        <f>'Por año'!B174</f>
        <v/>
      </c>
      <c r="C12" s="20" t="str">
        <f>'Por año'!C174</f>
        <v/>
      </c>
      <c r="E12" s="61" t="str">
        <f>'Por año'!E174</f>
        <v/>
      </c>
      <c r="F12" s="61" t="str">
        <f>'Por año'!F174</f>
        <v/>
      </c>
      <c r="H12" s="21" t="str">
        <f>'Por año'!H174</f>
        <v/>
      </c>
      <c r="I12" s="61" t="str">
        <f>'Por año'!I174</f>
        <v/>
      </c>
      <c r="J12" s="61" t="str">
        <f>'Por año'!K174</f>
        <v/>
      </c>
    </row>
    <row r="13">
      <c r="A13" s="61" t="str">
        <f>'Por año'!A175</f>
        <v/>
      </c>
      <c r="B13" s="61" t="str">
        <f>'Por año'!B175</f>
        <v/>
      </c>
      <c r="C13" s="20" t="str">
        <f>'Por año'!C175</f>
        <v/>
      </c>
      <c r="E13" s="61" t="str">
        <f>'Por año'!E175</f>
        <v/>
      </c>
      <c r="F13" s="61" t="str">
        <f>'Por año'!F175</f>
        <v/>
      </c>
      <c r="H13" s="21" t="str">
        <f>'Por año'!H175</f>
        <v/>
      </c>
      <c r="I13" s="61" t="str">
        <f>'Por año'!I175</f>
        <v/>
      </c>
      <c r="J13" s="61" t="str">
        <f>'Por año'!K175</f>
        <v/>
      </c>
    </row>
    <row r="14">
      <c r="A14" s="61" t="str">
        <f>'Por año'!A176</f>
        <v/>
      </c>
      <c r="B14" s="61" t="str">
        <f>'Por año'!B176</f>
        <v/>
      </c>
      <c r="C14" s="20" t="str">
        <f>'Por año'!C176</f>
        <v/>
      </c>
      <c r="E14" s="61" t="str">
        <f>'Por año'!E176</f>
        <v/>
      </c>
      <c r="F14" s="61" t="str">
        <f>'Por año'!F176</f>
        <v/>
      </c>
      <c r="H14" s="21" t="str">
        <f>'Por año'!H176</f>
        <v/>
      </c>
      <c r="I14" s="61" t="str">
        <f>'Por año'!I176</f>
        <v/>
      </c>
      <c r="J14" s="61" t="str">
        <f>'Por año'!K176</f>
        <v/>
      </c>
    </row>
    <row r="15">
      <c r="A15" s="61" t="str">
        <f>'Por año'!A177</f>
        <v/>
      </c>
      <c r="B15" s="61" t="str">
        <f>'Por año'!B177</f>
        <v/>
      </c>
      <c r="C15" s="20" t="str">
        <f>'Por año'!C177</f>
        <v/>
      </c>
      <c r="E15" s="61" t="str">
        <f>'Por año'!E177</f>
        <v/>
      </c>
      <c r="F15" s="61" t="str">
        <f>'Por año'!F177</f>
        <v/>
      </c>
      <c r="H15" s="21" t="str">
        <f>'Por año'!H177</f>
        <v/>
      </c>
      <c r="I15" s="61" t="str">
        <f>'Por año'!I177</f>
        <v/>
      </c>
      <c r="J15" s="61" t="str">
        <f>'Por año'!K177</f>
        <v/>
      </c>
    </row>
    <row r="16">
      <c r="A16" s="61" t="str">
        <f>'Por año'!A178</f>
        <v/>
      </c>
      <c r="B16" s="61" t="str">
        <f>'Por año'!B178</f>
        <v/>
      </c>
      <c r="C16" s="20" t="str">
        <f>'Por año'!C178</f>
        <v/>
      </c>
      <c r="E16" s="61" t="str">
        <f>'Por año'!E178</f>
        <v/>
      </c>
      <c r="F16" s="61" t="str">
        <f>'Por año'!F178</f>
        <v/>
      </c>
      <c r="H16" s="21" t="str">
        <f>'Por año'!H178</f>
        <v/>
      </c>
      <c r="I16" s="61" t="str">
        <f>'Por año'!I178</f>
        <v/>
      </c>
      <c r="J16" s="61" t="str">
        <f>'Por año'!K178</f>
        <v/>
      </c>
    </row>
    <row r="17">
      <c r="A17" s="61" t="str">
        <f>'Por año'!A179</f>
        <v/>
      </c>
      <c r="B17" s="61" t="str">
        <f>'Por año'!B179</f>
        <v/>
      </c>
      <c r="C17" s="20" t="str">
        <f>'Por año'!C179</f>
        <v/>
      </c>
      <c r="E17" s="61" t="str">
        <f>'Por año'!E179</f>
        <v/>
      </c>
      <c r="F17" s="61" t="str">
        <f>'Por año'!F179</f>
        <v/>
      </c>
      <c r="H17" s="21" t="str">
        <f>'Por año'!H179</f>
        <v/>
      </c>
      <c r="I17" s="61" t="str">
        <f>'Por año'!I179</f>
        <v/>
      </c>
      <c r="J17" s="61" t="str">
        <f>'Por año'!K179</f>
        <v/>
      </c>
    </row>
    <row r="18">
      <c r="A18" s="61" t="str">
        <f>'Por año'!A180</f>
        <v/>
      </c>
      <c r="B18" s="61" t="str">
        <f>'Por año'!B180</f>
        <v/>
      </c>
      <c r="C18" s="20" t="str">
        <f>'Por año'!C180</f>
        <v/>
      </c>
      <c r="E18" s="61" t="str">
        <f>'Por año'!E180</f>
        <v/>
      </c>
      <c r="F18" s="61" t="str">
        <f>'Por año'!F180</f>
        <v/>
      </c>
      <c r="H18" s="21" t="str">
        <f>'Por año'!H180</f>
        <v/>
      </c>
      <c r="I18" s="61" t="str">
        <f>'Por año'!I180</f>
        <v/>
      </c>
      <c r="J18" s="61" t="str">
        <f>'Por año'!K180</f>
        <v/>
      </c>
    </row>
    <row r="19">
      <c r="A19" s="61" t="str">
        <f>'Por año'!A181</f>
        <v/>
      </c>
      <c r="B19" s="61" t="str">
        <f>'Por año'!B181</f>
        <v/>
      </c>
      <c r="C19" s="20" t="str">
        <f>'Por año'!C181</f>
        <v/>
      </c>
      <c r="E19" s="61" t="str">
        <f>'Por año'!E181</f>
        <v/>
      </c>
      <c r="F19" s="61" t="str">
        <f>'Por año'!F181</f>
        <v/>
      </c>
      <c r="H19" s="21" t="str">
        <f>'Por año'!H181</f>
        <v/>
      </c>
      <c r="I19" s="61" t="str">
        <f>'Por año'!I181</f>
        <v/>
      </c>
      <c r="J19" s="61" t="str">
        <f>'Por año'!K181</f>
        <v/>
      </c>
    </row>
    <row r="20">
      <c r="A20" s="61" t="str">
        <f>'Por año'!A182</f>
        <v/>
      </c>
      <c r="B20" s="61" t="str">
        <f>'Por año'!B182</f>
        <v/>
      </c>
      <c r="C20" s="20" t="str">
        <f>'Por año'!C182</f>
        <v/>
      </c>
      <c r="E20" s="61" t="str">
        <f>'Por año'!E182</f>
        <v/>
      </c>
      <c r="F20" s="61" t="str">
        <f>'Por año'!F182</f>
        <v/>
      </c>
      <c r="H20" s="21" t="str">
        <f>'Por año'!H182</f>
        <v/>
      </c>
      <c r="I20" s="61" t="str">
        <f>'Por año'!I182</f>
        <v/>
      </c>
      <c r="J20" s="61" t="str">
        <f>'Por año'!K182</f>
        <v/>
      </c>
    </row>
    <row r="21">
      <c r="A21" s="61" t="str">
        <f>'Por año'!A183</f>
        <v/>
      </c>
      <c r="B21" s="61" t="str">
        <f>'Por año'!B183</f>
        <v/>
      </c>
      <c r="C21" s="20" t="str">
        <f>'Por año'!C183</f>
        <v/>
      </c>
      <c r="E21" s="61" t="str">
        <f>'Por año'!E183</f>
        <v/>
      </c>
      <c r="F21" s="61" t="str">
        <f>'Por año'!F183</f>
        <v/>
      </c>
      <c r="H21" s="21" t="str">
        <f>'Por año'!H183</f>
        <v/>
      </c>
      <c r="I21" s="61" t="str">
        <f>'Por año'!I183</f>
        <v/>
      </c>
      <c r="J21" s="61" t="str">
        <f>'Por año'!K183</f>
        <v/>
      </c>
    </row>
    <row r="22">
      <c r="A22" s="61" t="str">
        <f>'Por año'!A184</f>
        <v/>
      </c>
      <c r="B22" s="61" t="str">
        <f>'Por año'!B184</f>
        <v/>
      </c>
      <c r="C22" s="20" t="str">
        <f>'Por año'!C184</f>
        <v/>
      </c>
      <c r="E22" s="61" t="str">
        <f>'Por año'!E184</f>
        <v/>
      </c>
      <c r="F22" s="61" t="str">
        <f>'Por año'!F184</f>
        <v/>
      </c>
      <c r="H22" s="21" t="str">
        <f>'Por año'!H184</f>
        <v/>
      </c>
      <c r="I22" s="61" t="str">
        <f>'Por año'!I184</f>
        <v/>
      </c>
      <c r="J22" s="61" t="str">
        <f>'Por año'!K184</f>
        <v/>
      </c>
    </row>
    <row r="23">
      <c r="A23" s="61" t="str">
        <f>'Por año'!A185</f>
        <v/>
      </c>
      <c r="B23" s="61" t="str">
        <f>'Por año'!B185</f>
        <v/>
      </c>
      <c r="C23" s="20" t="str">
        <f>'Por año'!C185</f>
        <v/>
      </c>
      <c r="E23" s="61" t="str">
        <f>'Por año'!E185</f>
        <v/>
      </c>
      <c r="F23" s="61" t="str">
        <f>'Por año'!F185</f>
        <v/>
      </c>
      <c r="H23" s="21" t="str">
        <f>'Por año'!H185</f>
        <v/>
      </c>
      <c r="I23" s="61" t="str">
        <f>'Por año'!I185</f>
        <v/>
      </c>
      <c r="J23" s="61" t="str">
        <f>'Por año'!K185</f>
        <v/>
      </c>
    </row>
    <row r="24">
      <c r="A24" s="61" t="str">
        <f>'Por año'!A186</f>
        <v/>
      </c>
      <c r="B24" s="61" t="str">
        <f>'Por año'!B186</f>
        <v/>
      </c>
      <c r="C24" s="20" t="str">
        <f>'Por año'!C186</f>
        <v/>
      </c>
      <c r="E24" s="61" t="str">
        <f>'Por año'!E186</f>
        <v/>
      </c>
      <c r="F24" s="61" t="str">
        <f>'Por año'!F186</f>
        <v/>
      </c>
      <c r="H24" s="21" t="str">
        <f>'Por año'!H186</f>
        <v/>
      </c>
      <c r="I24" s="61" t="str">
        <f>'Por año'!I186</f>
        <v/>
      </c>
      <c r="J24" s="61" t="str">
        <f>'Por año'!K186</f>
        <v/>
      </c>
    </row>
    <row r="25">
      <c r="A25" s="61" t="str">
        <f>'Por año'!A187</f>
        <v/>
      </c>
      <c r="B25" s="61" t="str">
        <f>'Por año'!B187</f>
        <v/>
      </c>
      <c r="C25" s="20" t="str">
        <f>'Por año'!C187</f>
        <v/>
      </c>
      <c r="E25" s="61" t="str">
        <f>'Por año'!E187</f>
        <v/>
      </c>
      <c r="F25" s="61" t="str">
        <f>'Por año'!F187</f>
        <v/>
      </c>
      <c r="H25" s="21" t="str">
        <f>'Por año'!H187</f>
        <v/>
      </c>
      <c r="I25" s="61" t="str">
        <f>'Por año'!I187</f>
        <v/>
      </c>
      <c r="J25" s="61" t="str">
        <f>'Por año'!K187</f>
        <v/>
      </c>
    </row>
    <row r="26">
      <c r="A26" s="61" t="str">
        <f>'Por año'!A188</f>
        <v/>
      </c>
      <c r="B26" s="61" t="str">
        <f>'Por año'!B188</f>
        <v/>
      </c>
      <c r="C26" s="20" t="str">
        <f>'Por año'!C188</f>
        <v/>
      </c>
      <c r="E26" s="61" t="str">
        <f>'Por año'!E188</f>
        <v/>
      </c>
      <c r="F26" s="61" t="str">
        <f>'Por año'!F188</f>
        <v/>
      </c>
      <c r="H26" s="21" t="str">
        <f>'Por año'!H188</f>
        <v/>
      </c>
      <c r="I26" s="61" t="str">
        <f>'Por año'!I188</f>
        <v/>
      </c>
      <c r="J26" s="61" t="str">
        <f>'Por año'!K188</f>
        <v/>
      </c>
    </row>
    <row r="27">
      <c r="A27" s="61" t="str">
        <f>'Por año'!A189</f>
        <v/>
      </c>
      <c r="B27" s="61" t="str">
        <f>'Por año'!B189</f>
        <v/>
      </c>
      <c r="C27" s="20" t="str">
        <f>'Por año'!C189</f>
        <v/>
      </c>
      <c r="E27" s="61" t="str">
        <f>'Por año'!E189</f>
        <v/>
      </c>
      <c r="F27" s="61" t="str">
        <f>'Por año'!F189</f>
        <v/>
      </c>
      <c r="H27" s="21" t="str">
        <f>'Por año'!H189</f>
        <v/>
      </c>
      <c r="I27" s="61" t="str">
        <f>'Por año'!I189</f>
        <v/>
      </c>
      <c r="J27" s="61" t="str">
        <f>'Por año'!K189</f>
        <v/>
      </c>
    </row>
    <row r="28">
      <c r="A28" s="61" t="str">
        <f>'Por año'!A190</f>
        <v/>
      </c>
      <c r="B28" s="61" t="str">
        <f>'Por año'!B190</f>
        <v/>
      </c>
      <c r="C28" s="20" t="str">
        <f>'Por año'!C190</f>
        <v/>
      </c>
      <c r="E28" s="61" t="str">
        <f>'Por año'!E190</f>
        <v/>
      </c>
      <c r="F28" s="61" t="str">
        <f>'Por año'!F190</f>
        <v/>
      </c>
      <c r="H28" s="21" t="str">
        <f>'Por año'!H190</f>
        <v/>
      </c>
      <c r="I28" s="61" t="str">
        <f>'Por año'!I190</f>
        <v/>
      </c>
      <c r="J28" s="61" t="str">
        <f>'Por año'!K190</f>
        <v/>
      </c>
    </row>
    <row r="29">
      <c r="A29" s="61" t="str">
        <f>'Por año'!A191</f>
        <v/>
      </c>
      <c r="B29" s="61" t="str">
        <f>'Por año'!B191</f>
        <v/>
      </c>
      <c r="C29" s="20" t="str">
        <f>'Por año'!C191</f>
        <v/>
      </c>
      <c r="E29" s="61" t="str">
        <f>'Por año'!E191</f>
        <v/>
      </c>
      <c r="F29" s="61" t="str">
        <f>'Por año'!F191</f>
        <v/>
      </c>
      <c r="H29" s="21" t="str">
        <f>'Por año'!H191</f>
        <v/>
      </c>
      <c r="I29" s="61" t="str">
        <f>'Por año'!I191</f>
        <v/>
      </c>
      <c r="J29" s="61" t="str">
        <f>'Por año'!K191</f>
        <v/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8.25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año'!A12</f>
        <v>24-25</v>
      </c>
      <c r="B2" s="61" t="str">
        <f>'Por año'!B12</f>
        <v>Dibujo Técnico</v>
      </c>
      <c r="C2" s="20">
        <f>'Por año'!C12</f>
        <v>4</v>
      </c>
      <c r="D2" s="61" t="str">
        <f t="shared" ref="D2:D10" si="1">CONCATENATE(A2,"(",C2,")")</f>
        <v>24-25(4)</v>
      </c>
      <c r="E2" s="21">
        <f>'Por año'!E12</f>
        <v>0.25</v>
      </c>
      <c r="F2" s="61">
        <f>'Por año'!F12</f>
        <v>3.31</v>
      </c>
      <c r="G2" s="61">
        <f>'Por año'!G12</f>
        <v>9.5</v>
      </c>
      <c r="H2" s="21">
        <f>'Por año'!H12</f>
        <v>0.6677</v>
      </c>
      <c r="I2" s="61">
        <f>'Por año'!I12</f>
        <v>5.79</v>
      </c>
    </row>
    <row r="3">
      <c r="A3" s="61" t="str">
        <f>'Por año'!A31</f>
        <v>23-24</v>
      </c>
      <c r="B3" s="61" t="str">
        <f>'Por año'!B31</f>
        <v>Dibujo Técnico</v>
      </c>
      <c r="C3" s="20">
        <f>'Por año'!C31</f>
        <v>2</v>
      </c>
      <c r="D3" s="61" t="str">
        <f t="shared" si="1"/>
        <v>23-24(2)</v>
      </c>
      <c r="E3" s="21">
        <f>'Por año'!E31</f>
        <v>0.5</v>
      </c>
      <c r="F3" s="61">
        <f>'Por año'!F31</f>
        <v>5.88</v>
      </c>
      <c r="G3" s="61">
        <f>'Por año'!G31</f>
        <v>8.08</v>
      </c>
      <c r="H3" s="21">
        <f>'Por año'!H31</f>
        <v>0.848</v>
      </c>
      <c r="I3" s="61">
        <f>'Por año'!I31</f>
        <v>7.08</v>
      </c>
    </row>
    <row r="4">
      <c r="A4" s="61" t="str">
        <f>'Por año'!A50</f>
        <v>22-23</v>
      </c>
      <c r="B4" s="61" t="str">
        <f>'Por año'!B50</f>
        <v>Dibujo Técnico</v>
      </c>
      <c r="C4" s="20">
        <f>'Por año'!C50</f>
        <v>8</v>
      </c>
      <c r="D4" s="61" t="str">
        <f t="shared" si="1"/>
        <v>22-23(8)</v>
      </c>
      <c r="E4" s="21">
        <f>'Por año'!E50</f>
        <v>0.625</v>
      </c>
      <c r="F4" s="61">
        <f>'Por año'!F50</f>
        <v>5.53</v>
      </c>
      <c r="G4" s="61">
        <f>'Por año'!G50</f>
        <v>7.41</v>
      </c>
      <c r="H4" s="21">
        <f>'Por año'!H50</f>
        <v>0.7167</v>
      </c>
      <c r="I4" s="61">
        <f>'Por año'!I50</f>
        <v>6.15</v>
      </c>
    </row>
    <row r="5">
      <c r="A5" s="61" t="str">
        <f>'Por año'!A69</f>
        <v>21-22</v>
      </c>
      <c r="B5" s="61" t="str">
        <f>'Por año'!B69</f>
        <v>Dibujo Técnico</v>
      </c>
      <c r="C5" s="20">
        <f>'Por año'!C69</f>
        <v>6</v>
      </c>
      <c r="D5" s="61" t="str">
        <f t="shared" si="1"/>
        <v>21-22(6)</v>
      </c>
      <c r="E5" s="21">
        <f>'Por año'!E69</f>
        <v>0.6667</v>
      </c>
      <c r="F5" s="61">
        <f>'Por año'!F69</f>
        <v>5.75</v>
      </c>
      <c r="G5" s="61">
        <f>'Por año'!G69</f>
        <v>8.13</v>
      </c>
      <c r="H5" s="21">
        <f>'Por año'!H69</f>
        <v>0.5987</v>
      </c>
      <c r="I5" s="61">
        <f>'Por año'!I69</f>
        <v>5.45</v>
      </c>
    </row>
    <row r="6">
      <c r="A6" s="61" t="str">
        <f>'Por año'!A88</f>
        <v>20-21</v>
      </c>
      <c r="B6" s="61" t="str">
        <f>'Por año'!B88</f>
        <v>Dibujo Técnico</v>
      </c>
      <c r="C6" s="20">
        <f>'Por año'!C88</f>
        <v>3</v>
      </c>
      <c r="D6" s="61" t="str">
        <f t="shared" si="1"/>
        <v>20-21(3)</v>
      </c>
      <c r="E6" s="21">
        <f>'Por año'!E88</f>
        <v>0.3333</v>
      </c>
      <c r="F6" s="61">
        <f>'Por año'!F88</f>
        <v>4.42</v>
      </c>
      <c r="G6" s="61">
        <f>'Por año'!G88</f>
        <v>8.5</v>
      </c>
      <c r="H6" s="21">
        <f>'Por año'!H88</f>
        <v>0.6453</v>
      </c>
      <c r="I6" s="61">
        <f>'Por año'!I88</f>
        <v>5.8</v>
      </c>
    </row>
    <row r="7">
      <c r="A7" s="61" t="str">
        <f>'Por año'!A107</f>
        <v>19-20</v>
      </c>
      <c r="B7" s="61" t="str">
        <f>'Por año'!B107</f>
        <v>Dibujo Técnico</v>
      </c>
      <c r="C7" s="20">
        <f>'Por año'!C107</f>
        <v>7</v>
      </c>
      <c r="D7" s="61" t="str">
        <f t="shared" si="1"/>
        <v>19-20(7)</v>
      </c>
      <c r="E7" s="21">
        <f>'Por año'!E107</f>
        <v>0.8571</v>
      </c>
      <c r="F7" s="61">
        <f>'Por año'!F107</f>
        <v>6.857</v>
      </c>
      <c r="G7" s="61">
        <f>'Por año'!G107</f>
        <v>8.43</v>
      </c>
      <c r="H7" s="21">
        <f>'Por año'!H107</f>
        <v>0.83</v>
      </c>
      <c r="I7" s="61">
        <f>'Por año'!I107</f>
        <v>7.023</v>
      </c>
    </row>
    <row r="8">
      <c r="A8" s="61" t="str">
        <f>'Por año'!A126</f>
        <v>18-19</v>
      </c>
      <c r="B8" s="61" t="str">
        <f>'Por año'!B126</f>
        <v>Dibujo Técnico</v>
      </c>
      <c r="C8" s="61">
        <f>'Por año'!C126</f>
        <v>4</v>
      </c>
      <c r="D8" s="61" t="str">
        <f t="shared" si="1"/>
        <v>18-19(4)</v>
      </c>
      <c r="E8" s="21">
        <f>'Por año'!E126</f>
        <v>0.5</v>
      </c>
      <c r="F8" s="61">
        <f>'Por año'!F126</f>
        <v>4.312</v>
      </c>
      <c r="G8" s="61">
        <f>'Por año'!G126</f>
        <v>8.43</v>
      </c>
      <c r="H8" s="21">
        <f>'Por año'!H126</f>
        <v>0.4501</v>
      </c>
      <c r="I8" s="61">
        <f>'Por año'!I126</f>
        <v>4.701</v>
      </c>
    </row>
    <row r="9">
      <c r="A9" s="61" t="str">
        <f>'Por año'!A145</f>
        <v>17-18</v>
      </c>
      <c r="B9" s="61" t="str">
        <f>'Por año'!B145</f>
        <v>Dibujo Técnico</v>
      </c>
      <c r="C9" s="20">
        <f>'Por año'!C145</f>
        <v>6</v>
      </c>
      <c r="D9" s="61" t="str">
        <f t="shared" si="1"/>
        <v>17-18(6)</v>
      </c>
      <c r="E9" s="21">
        <f>'Por año'!E145</f>
        <v>0.5</v>
      </c>
      <c r="F9" s="61">
        <f>'Por año'!F145</f>
        <v>5.917</v>
      </c>
      <c r="G9" s="61">
        <f>'Por año'!G145</f>
        <v>7.8</v>
      </c>
      <c r="H9" s="21">
        <f>'Por año'!H145</f>
        <v>0.6129</v>
      </c>
      <c r="I9" s="61">
        <f>'Por año'!I145</f>
        <v>5.514</v>
      </c>
    </row>
    <row r="10">
      <c r="A10" s="61" t="str">
        <f>'Por año'!A164</f>
        <v>16-17</v>
      </c>
      <c r="B10" s="61" t="str">
        <f>'Por año'!B164</f>
        <v>Dibujo Técnico</v>
      </c>
      <c r="C10" s="20">
        <f>'Por año'!C164</f>
        <v>2</v>
      </c>
      <c r="D10" s="61" t="str">
        <f t="shared" si="1"/>
        <v>16-17(2)</v>
      </c>
      <c r="E10" s="21">
        <f>'Por año'!E164</f>
        <v>0.5</v>
      </c>
      <c r="F10" s="61">
        <f>'Por año'!F164</f>
        <v>4.625</v>
      </c>
      <c r="G10" s="61">
        <f>'Por año'!G164</f>
        <v>7.55</v>
      </c>
      <c r="H10" s="21">
        <f>'Por año'!H164</f>
        <v>0.4482</v>
      </c>
      <c r="I10" s="61">
        <f>'Por año'!I164</f>
        <v>4.51</v>
      </c>
      <c r="J10" s="61" t="str">
        <f>'Por año'!K173</f>
        <v/>
      </c>
    </row>
    <row r="11">
      <c r="A11" s="61" t="str">
        <f>'Por año'!A174</f>
        <v/>
      </c>
      <c r="B11" s="61" t="str">
        <f>'Por año'!B174</f>
        <v/>
      </c>
      <c r="C11" s="20" t="str">
        <f>'Por año'!C174</f>
        <v/>
      </c>
      <c r="E11" s="61" t="str">
        <f>'Por año'!E174</f>
        <v/>
      </c>
      <c r="F11" s="61" t="str">
        <f>'Por año'!F174</f>
        <v/>
      </c>
      <c r="H11" s="21" t="str">
        <f>'Por año'!H174</f>
        <v/>
      </c>
      <c r="I11" s="61" t="str">
        <f>'Por año'!I174</f>
        <v/>
      </c>
      <c r="J11" s="61" t="str">
        <f>'Por año'!K174</f>
        <v/>
      </c>
    </row>
    <row r="12">
      <c r="A12" s="61" t="str">
        <f>'Por año'!A175</f>
        <v/>
      </c>
      <c r="B12" s="61" t="str">
        <f>'Por año'!B175</f>
        <v/>
      </c>
      <c r="C12" s="20" t="str">
        <f>'Por año'!C175</f>
        <v/>
      </c>
      <c r="E12" s="61" t="str">
        <f>'Por año'!E175</f>
        <v/>
      </c>
      <c r="F12" s="61" t="str">
        <f>'Por año'!F175</f>
        <v/>
      </c>
      <c r="H12" s="21" t="str">
        <f>'Por año'!H175</f>
        <v/>
      </c>
      <c r="I12" s="61" t="str">
        <f>'Por año'!I175</f>
        <v/>
      </c>
      <c r="J12" s="61" t="str">
        <f>'Por año'!K175</f>
        <v/>
      </c>
    </row>
    <row r="13">
      <c r="A13" s="61" t="str">
        <f>'Por año'!A176</f>
        <v/>
      </c>
      <c r="B13" s="61" t="str">
        <f>'Por año'!B176</f>
        <v/>
      </c>
      <c r="C13" s="20" t="str">
        <f>'Por año'!C176</f>
        <v/>
      </c>
      <c r="E13" s="61" t="str">
        <f>'Por año'!E176</f>
        <v/>
      </c>
      <c r="F13" s="61" t="str">
        <f>'Por año'!F176</f>
        <v/>
      </c>
      <c r="H13" s="21" t="str">
        <f>'Por año'!H176</f>
        <v/>
      </c>
      <c r="I13" s="61" t="str">
        <f>'Por año'!I176</f>
        <v/>
      </c>
      <c r="J13" s="61" t="str">
        <f>'Por año'!K176</f>
        <v/>
      </c>
    </row>
    <row r="14">
      <c r="A14" s="61" t="str">
        <f>'Por año'!A177</f>
        <v/>
      </c>
      <c r="B14" s="61" t="str">
        <f>'Por año'!B177</f>
        <v/>
      </c>
      <c r="C14" s="20" t="str">
        <f>'Por año'!C177</f>
        <v/>
      </c>
      <c r="E14" s="61" t="str">
        <f>'Por año'!E177</f>
        <v/>
      </c>
      <c r="F14" s="61" t="str">
        <f>'Por año'!F177</f>
        <v/>
      </c>
      <c r="H14" s="21" t="str">
        <f>'Por año'!H177</f>
        <v/>
      </c>
      <c r="I14" s="61" t="str">
        <f>'Por año'!I177</f>
        <v/>
      </c>
      <c r="J14" s="61" t="str">
        <f>'Por año'!K177</f>
        <v/>
      </c>
    </row>
    <row r="15">
      <c r="A15" s="61" t="str">
        <f>'Por año'!A178</f>
        <v/>
      </c>
      <c r="B15" s="61" t="str">
        <f>'Por año'!B178</f>
        <v/>
      </c>
      <c r="C15" s="20" t="str">
        <f>'Por año'!C178</f>
        <v/>
      </c>
      <c r="E15" s="61" t="str">
        <f>'Por año'!E178</f>
        <v/>
      </c>
      <c r="F15" s="61" t="str">
        <f>'Por año'!F178</f>
        <v/>
      </c>
      <c r="H15" s="21" t="str">
        <f>'Por año'!H178</f>
        <v/>
      </c>
      <c r="I15" s="61" t="str">
        <f>'Por año'!I178</f>
        <v/>
      </c>
      <c r="J15" s="61" t="str">
        <f>'Por año'!K178</f>
        <v/>
      </c>
    </row>
    <row r="16">
      <c r="A16" s="61" t="str">
        <f>'Por año'!A179</f>
        <v/>
      </c>
      <c r="B16" s="61" t="str">
        <f>'Por año'!B179</f>
        <v/>
      </c>
      <c r="C16" s="20" t="str">
        <f>'Por año'!C179</f>
        <v/>
      </c>
      <c r="E16" s="61" t="str">
        <f>'Por año'!E179</f>
        <v/>
      </c>
      <c r="F16" s="61" t="str">
        <f>'Por año'!F179</f>
        <v/>
      </c>
      <c r="H16" s="21" t="str">
        <f>'Por año'!H179</f>
        <v/>
      </c>
      <c r="I16" s="61" t="str">
        <f>'Por año'!I179</f>
        <v/>
      </c>
      <c r="J16" s="61" t="str">
        <f>'Por año'!K179</f>
        <v/>
      </c>
    </row>
    <row r="17">
      <c r="A17" s="61" t="str">
        <f>'Por año'!A180</f>
        <v/>
      </c>
      <c r="B17" s="61" t="str">
        <f>'Por año'!B180</f>
        <v/>
      </c>
      <c r="C17" s="20" t="str">
        <f>'Por año'!C180</f>
        <v/>
      </c>
      <c r="E17" s="61" t="str">
        <f>'Por año'!E180</f>
        <v/>
      </c>
      <c r="F17" s="61" t="str">
        <f>'Por año'!F180</f>
        <v/>
      </c>
      <c r="H17" s="21" t="str">
        <f>'Por año'!H180</f>
        <v/>
      </c>
      <c r="I17" s="61" t="str">
        <f>'Por año'!I180</f>
        <v/>
      </c>
      <c r="J17" s="61" t="str">
        <f>'Por año'!K180</f>
        <v/>
      </c>
    </row>
    <row r="18">
      <c r="A18" s="61" t="str">
        <f>'Por año'!A181</f>
        <v/>
      </c>
      <c r="B18" s="61" t="str">
        <f>'Por año'!B181</f>
        <v/>
      </c>
      <c r="C18" s="20" t="str">
        <f>'Por año'!C181</f>
        <v/>
      </c>
      <c r="E18" s="61" t="str">
        <f>'Por año'!E181</f>
        <v/>
      </c>
      <c r="F18" s="61" t="str">
        <f>'Por año'!F181</f>
        <v/>
      </c>
      <c r="H18" s="21" t="str">
        <f>'Por año'!H181</f>
        <v/>
      </c>
      <c r="I18" s="61" t="str">
        <f>'Por año'!I181</f>
        <v/>
      </c>
      <c r="J18" s="61" t="str">
        <f>'Por año'!K181</f>
        <v/>
      </c>
    </row>
    <row r="19">
      <c r="A19" s="61" t="str">
        <f>'Por año'!A182</f>
        <v/>
      </c>
      <c r="B19" s="61" t="str">
        <f>'Por año'!B182</f>
        <v/>
      </c>
      <c r="C19" s="20" t="str">
        <f>'Por año'!C182</f>
        <v/>
      </c>
      <c r="E19" s="61" t="str">
        <f>'Por año'!E182</f>
        <v/>
      </c>
      <c r="F19" s="61" t="str">
        <f>'Por año'!F182</f>
        <v/>
      </c>
      <c r="H19" s="21" t="str">
        <f>'Por año'!H182</f>
        <v/>
      </c>
      <c r="I19" s="61" t="str">
        <f>'Por año'!I182</f>
        <v/>
      </c>
      <c r="J19" s="61" t="str">
        <f>'Por año'!K182</f>
        <v/>
      </c>
    </row>
    <row r="20">
      <c r="A20" s="61" t="str">
        <f>'Por año'!A183</f>
        <v/>
      </c>
      <c r="B20" s="61" t="str">
        <f>'Por año'!B183</f>
        <v/>
      </c>
      <c r="C20" s="20" t="str">
        <f>'Por año'!C183</f>
        <v/>
      </c>
      <c r="E20" s="61" t="str">
        <f>'Por año'!E183</f>
        <v/>
      </c>
      <c r="F20" s="61" t="str">
        <f>'Por año'!F183</f>
        <v/>
      </c>
      <c r="H20" s="21" t="str">
        <f>'Por año'!H183</f>
        <v/>
      </c>
      <c r="I20" s="61" t="str">
        <f>'Por año'!I183</f>
        <v/>
      </c>
      <c r="J20" s="61" t="str">
        <f>'Por año'!K183</f>
        <v/>
      </c>
    </row>
    <row r="21">
      <c r="A21" s="61" t="str">
        <f>'Por año'!A184</f>
        <v/>
      </c>
      <c r="B21" s="61" t="str">
        <f>'Por año'!B184</f>
        <v/>
      </c>
      <c r="C21" s="20" t="str">
        <f>'Por año'!C184</f>
        <v/>
      </c>
      <c r="E21" s="61" t="str">
        <f>'Por año'!E184</f>
        <v/>
      </c>
      <c r="F21" s="61" t="str">
        <f>'Por año'!F184</f>
        <v/>
      </c>
      <c r="H21" s="21" t="str">
        <f>'Por año'!H184</f>
        <v/>
      </c>
      <c r="I21" s="61" t="str">
        <f>'Por año'!I184</f>
        <v/>
      </c>
      <c r="J21" s="61" t="str">
        <f>'Por año'!K184</f>
        <v/>
      </c>
    </row>
    <row r="22">
      <c r="A22" s="61" t="str">
        <f>'Por año'!A185</f>
        <v/>
      </c>
      <c r="B22" s="61" t="str">
        <f>'Por año'!B185</f>
        <v/>
      </c>
      <c r="C22" s="20" t="str">
        <f>'Por año'!C185</f>
        <v/>
      </c>
      <c r="E22" s="61" t="str">
        <f>'Por año'!E185</f>
        <v/>
      </c>
      <c r="F22" s="61" t="str">
        <f>'Por año'!F185</f>
        <v/>
      </c>
      <c r="H22" s="21" t="str">
        <f>'Por año'!H185</f>
        <v/>
      </c>
      <c r="I22" s="61" t="str">
        <f>'Por año'!I185</f>
        <v/>
      </c>
      <c r="J22" s="61" t="str">
        <f>'Por año'!K185</f>
        <v/>
      </c>
    </row>
    <row r="23">
      <c r="A23" s="61" t="str">
        <f>'Por año'!A186</f>
        <v/>
      </c>
      <c r="B23" s="61" t="str">
        <f>'Por año'!B186</f>
        <v/>
      </c>
      <c r="C23" s="20" t="str">
        <f>'Por año'!C186</f>
        <v/>
      </c>
      <c r="E23" s="61" t="str">
        <f>'Por año'!E186</f>
        <v/>
      </c>
      <c r="F23" s="61" t="str">
        <f>'Por año'!F186</f>
        <v/>
      </c>
      <c r="H23" s="21" t="str">
        <f>'Por año'!H186</f>
        <v/>
      </c>
      <c r="I23" s="61" t="str">
        <f>'Por año'!I186</f>
        <v/>
      </c>
      <c r="J23" s="61" t="str">
        <f>'Por año'!K186</f>
        <v/>
      </c>
    </row>
    <row r="24">
      <c r="A24" s="61" t="str">
        <f>'Por año'!A187</f>
        <v/>
      </c>
      <c r="B24" s="61" t="str">
        <f>'Por año'!B187</f>
        <v/>
      </c>
      <c r="C24" s="20" t="str">
        <f>'Por año'!C187</f>
        <v/>
      </c>
      <c r="E24" s="61" t="str">
        <f>'Por año'!E187</f>
        <v/>
      </c>
      <c r="F24" s="61" t="str">
        <f>'Por año'!F187</f>
        <v/>
      </c>
      <c r="H24" s="21" t="str">
        <f>'Por año'!H187</f>
        <v/>
      </c>
      <c r="I24" s="61" t="str">
        <f>'Por año'!I187</f>
        <v/>
      </c>
      <c r="J24" s="61" t="str">
        <f>'Por año'!K187</f>
        <v/>
      </c>
    </row>
    <row r="25">
      <c r="A25" s="61" t="str">
        <f>'Por año'!A188</f>
        <v/>
      </c>
      <c r="B25" s="61" t="str">
        <f>'Por año'!B188</f>
        <v/>
      </c>
      <c r="C25" s="20" t="str">
        <f>'Por año'!C188</f>
        <v/>
      </c>
      <c r="E25" s="61" t="str">
        <f>'Por año'!E188</f>
        <v/>
      </c>
      <c r="F25" s="61" t="str">
        <f>'Por año'!F188</f>
        <v/>
      </c>
      <c r="H25" s="21" t="str">
        <f>'Por año'!H188</f>
        <v/>
      </c>
      <c r="I25" s="61" t="str">
        <f>'Por año'!I188</f>
        <v/>
      </c>
      <c r="J25" s="61" t="str">
        <f>'Por año'!K188</f>
        <v/>
      </c>
    </row>
    <row r="26">
      <c r="A26" s="61" t="str">
        <f>'Por año'!A189</f>
        <v/>
      </c>
      <c r="B26" s="61" t="str">
        <f>'Por año'!B189</f>
        <v/>
      </c>
      <c r="C26" s="20" t="str">
        <f>'Por año'!C189</f>
        <v/>
      </c>
      <c r="E26" s="61" t="str">
        <f>'Por año'!E189</f>
        <v/>
      </c>
      <c r="F26" s="61" t="str">
        <f>'Por año'!F189</f>
        <v/>
      </c>
      <c r="H26" s="21" t="str">
        <f>'Por año'!H189</f>
        <v/>
      </c>
      <c r="I26" s="61" t="str">
        <f>'Por año'!I189</f>
        <v/>
      </c>
      <c r="J26" s="61" t="str">
        <f>'Por año'!K189</f>
        <v/>
      </c>
    </row>
    <row r="27">
      <c r="A27" s="61" t="str">
        <f>'Por año'!A190</f>
        <v/>
      </c>
      <c r="B27" s="61" t="str">
        <f>'Por año'!B190</f>
        <v/>
      </c>
      <c r="C27" s="20" t="str">
        <f>'Por año'!C190</f>
        <v/>
      </c>
      <c r="E27" s="61" t="str">
        <f>'Por año'!E190</f>
        <v/>
      </c>
      <c r="F27" s="61" t="str">
        <f>'Por año'!F190</f>
        <v/>
      </c>
      <c r="H27" s="21" t="str">
        <f>'Por año'!H190</f>
        <v/>
      </c>
      <c r="I27" s="61" t="str">
        <f>'Por año'!I190</f>
        <v/>
      </c>
      <c r="J27" s="61" t="str">
        <f>'Por año'!K190</f>
        <v/>
      </c>
    </row>
    <row r="28">
      <c r="A28" s="61" t="str">
        <f>'Por año'!A191</f>
        <v/>
      </c>
      <c r="B28" s="61" t="str">
        <f>'Por año'!B191</f>
        <v/>
      </c>
      <c r="C28" s="20" t="str">
        <f>'Por año'!C191</f>
        <v/>
      </c>
      <c r="E28" s="61" t="str">
        <f>'Por año'!E191</f>
        <v/>
      </c>
      <c r="F28" s="61" t="str">
        <f>'Por año'!F191</f>
        <v/>
      </c>
      <c r="H28" s="21" t="str">
        <f>'Por año'!H191</f>
        <v/>
      </c>
      <c r="I28" s="61" t="str">
        <f>'Por año'!I191</f>
        <v/>
      </c>
      <c r="J28" s="61" t="str">
        <f>'Por año'!K191</f>
        <v/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8.25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año'!A13</f>
        <v>24-25</v>
      </c>
      <c r="B2" s="61" t="str">
        <f>'Por año'!B13</f>
        <v>Economía</v>
      </c>
      <c r="C2" s="20">
        <f>'Por año'!C13</f>
        <v>5</v>
      </c>
      <c r="D2" s="61" t="str">
        <f t="shared" ref="D2:D10" si="1">CONCATENATE(A2,"(",C2,")")</f>
        <v>24-25(5)</v>
      </c>
      <c r="E2" s="21">
        <f>'Por año'!E13</f>
        <v>1</v>
      </c>
      <c r="F2" s="61">
        <f>'Por año'!F13</f>
        <v>6.1</v>
      </c>
      <c r="G2" s="61">
        <f>'Por año'!G13</f>
        <v>6</v>
      </c>
      <c r="H2" s="21">
        <f>'Por año'!H13</f>
        <v>0.7622</v>
      </c>
      <c r="I2" s="61">
        <f>'Por año'!I13</f>
        <v>6.22</v>
      </c>
    </row>
    <row r="3">
      <c r="A3" s="61" t="str">
        <f>'Por año'!A32</f>
        <v>23-24</v>
      </c>
      <c r="B3" s="61" t="str">
        <f>'Por año'!B32</f>
        <v>Economía</v>
      </c>
      <c r="C3" s="20">
        <f>'Por año'!C32</f>
        <v>8</v>
      </c>
      <c r="D3" s="61" t="str">
        <f t="shared" si="1"/>
        <v>23-24(8)</v>
      </c>
      <c r="E3" s="21">
        <f>'Por año'!E32</f>
        <v>0.75</v>
      </c>
      <c r="F3" s="61">
        <f>'Por año'!F32</f>
        <v>5.94</v>
      </c>
      <c r="G3" s="61">
        <f>'Por año'!G32</f>
        <v>6.56</v>
      </c>
      <c r="H3" s="21">
        <f>'Por año'!H32</f>
        <v>0.7947</v>
      </c>
      <c r="I3" s="61">
        <f>'Por año'!I32</f>
        <v>6.6</v>
      </c>
    </row>
    <row r="4">
      <c r="A4" s="61" t="str">
        <f>'Por año'!A51</f>
        <v>22-23</v>
      </c>
      <c r="B4" s="61" t="str">
        <f>'Por año'!B51</f>
        <v>Economía</v>
      </c>
      <c r="C4" s="20">
        <f>'Por año'!C51</f>
        <v>11</v>
      </c>
      <c r="D4" s="61" t="str">
        <f t="shared" si="1"/>
        <v>22-23(11)</v>
      </c>
      <c r="E4" s="21">
        <f>'Por año'!E51</f>
        <v>0.9091</v>
      </c>
      <c r="F4" s="61">
        <f>'Por año'!F51</f>
        <v>8.23</v>
      </c>
      <c r="G4" s="61">
        <f>'Por año'!G51</f>
        <v>7</v>
      </c>
      <c r="H4" s="21">
        <f>'Por año'!H51</f>
        <v>0.765</v>
      </c>
      <c r="I4" s="61">
        <f>'Por año'!I51</f>
        <v>6.5</v>
      </c>
    </row>
    <row r="5">
      <c r="A5" s="61" t="str">
        <f>'Por año'!A70</f>
        <v>21-22</v>
      </c>
      <c r="B5" s="61" t="str">
        <f>'Por año'!B70</f>
        <v>Economía</v>
      </c>
      <c r="C5" s="20">
        <f>'Por año'!C70</f>
        <v>10</v>
      </c>
      <c r="D5" s="61" t="str">
        <f t="shared" si="1"/>
        <v>21-22(10)</v>
      </c>
      <c r="E5" s="21">
        <f>'Por año'!E70</f>
        <v>0.9</v>
      </c>
      <c r="F5" s="61">
        <f>'Por año'!F70</f>
        <v>7.9</v>
      </c>
      <c r="G5" s="61">
        <f>'Por año'!G70</f>
        <v>6.32</v>
      </c>
      <c r="H5" s="21">
        <f>'Por año'!H70</f>
        <v>0.841</v>
      </c>
      <c r="I5" s="61">
        <f>'Por año'!I70</f>
        <v>7.02</v>
      </c>
    </row>
    <row r="6">
      <c r="A6" s="61" t="str">
        <f>'Por año'!A89</f>
        <v>20-21</v>
      </c>
      <c r="B6" s="61" t="str">
        <f>'Por año'!B89</f>
        <v>Economía</v>
      </c>
      <c r="C6" s="20">
        <f>'Por año'!C89</f>
        <v>14</v>
      </c>
      <c r="D6" s="61" t="str">
        <f t="shared" si="1"/>
        <v>20-21(14)</v>
      </c>
      <c r="E6" s="21">
        <f>'Por año'!E89</f>
        <v>1</v>
      </c>
      <c r="F6" s="61">
        <f>'Por año'!F89</f>
        <v>8.18</v>
      </c>
      <c r="G6" s="61">
        <f>'Por año'!G89</f>
        <v>6.44</v>
      </c>
      <c r="H6" s="21">
        <f>'Por año'!H89</f>
        <v>0.8281</v>
      </c>
      <c r="I6" s="61">
        <f>'Por año'!I89</f>
        <v>7.01</v>
      </c>
    </row>
    <row r="7">
      <c r="A7" s="61" t="str">
        <f>'Por año'!A108</f>
        <v>19-20</v>
      </c>
      <c r="B7" s="61" t="str">
        <f>'Por año'!B108</f>
        <v>Economía</v>
      </c>
      <c r="C7" s="20">
        <f>'Por año'!C108</f>
        <v>13</v>
      </c>
      <c r="D7" s="61" t="str">
        <f t="shared" si="1"/>
        <v>19-20(13)</v>
      </c>
      <c r="E7" s="21">
        <f>'Por año'!E108</f>
        <v>0.8462</v>
      </c>
      <c r="F7" s="61">
        <f>'Por año'!F108</f>
        <v>7.577</v>
      </c>
      <c r="G7" s="61">
        <f>'Por año'!G108</f>
        <v>7.28</v>
      </c>
      <c r="H7" s="21">
        <f>'Por año'!H108</f>
        <v>0.774</v>
      </c>
      <c r="I7" s="61">
        <f>'Por año'!I108</f>
        <v>6.525</v>
      </c>
    </row>
    <row r="8">
      <c r="A8" s="61" t="str">
        <f>'Por año'!A127</f>
        <v>18-19</v>
      </c>
      <c r="B8" s="61" t="str">
        <f>'Por año'!B127</f>
        <v>Economía</v>
      </c>
      <c r="C8" s="61">
        <f>'Por año'!C127</f>
        <v>14</v>
      </c>
      <c r="D8" s="61" t="str">
        <f t="shared" si="1"/>
        <v>18-19(14)</v>
      </c>
      <c r="E8" s="21">
        <f>'Por año'!E127</f>
        <v>0.6429</v>
      </c>
      <c r="F8" s="61">
        <f>'Por año'!F127</f>
        <v>4.929</v>
      </c>
      <c r="G8" s="61">
        <f>'Por año'!G127</f>
        <v>6.08</v>
      </c>
      <c r="H8" s="21">
        <f>'Por año'!H127</f>
        <v>0.5865</v>
      </c>
      <c r="I8" s="61">
        <f>'Por año'!I127</f>
        <v>5.398</v>
      </c>
    </row>
    <row r="9">
      <c r="A9" s="61" t="str">
        <f>'Por año'!A146</f>
        <v>17-18</v>
      </c>
      <c r="B9" s="61" t="str">
        <f>'Por año'!B146</f>
        <v>Economía</v>
      </c>
      <c r="C9" s="20">
        <f>'Por año'!C146</f>
        <v>7</v>
      </c>
      <c r="D9" s="61" t="str">
        <f t="shared" si="1"/>
        <v>17-18(7)</v>
      </c>
      <c r="E9" s="21">
        <f>'Por año'!E146</f>
        <v>0.8571</v>
      </c>
      <c r="F9" s="61">
        <f>'Por año'!F146</f>
        <v>7.643</v>
      </c>
      <c r="G9" s="61">
        <f>'Por año'!G146</f>
        <v>6</v>
      </c>
      <c r="H9" s="21">
        <f>'Por año'!H146</f>
        <v>0.7101</v>
      </c>
      <c r="I9" s="61">
        <f>'Por año'!I146</f>
        <v>6.185</v>
      </c>
    </row>
    <row r="10">
      <c r="A10" s="61" t="str">
        <f>'Por año'!A165</f>
        <v>16-17</v>
      </c>
      <c r="B10" s="61" t="str">
        <f>'Por año'!B165</f>
        <v>Economía</v>
      </c>
      <c r="C10" s="20">
        <f>'Por año'!C165</f>
        <v>12</v>
      </c>
      <c r="D10" s="61" t="str">
        <f t="shared" si="1"/>
        <v>16-17(12)</v>
      </c>
      <c r="E10" s="21">
        <f>'Por año'!E165</f>
        <v>1</v>
      </c>
      <c r="F10" s="61">
        <f>'Por año'!F165</f>
        <v>7.583</v>
      </c>
      <c r="G10" s="61">
        <f>'Por año'!G165</f>
        <v>6.72</v>
      </c>
      <c r="H10" s="21">
        <f>'Por año'!H165</f>
        <v>0.6987</v>
      </c>
      <c r="I10" s="61">
        <f>'Por año'!I165</f>
        <v>5.793</v>
      </c>
      <c r="J10" s="61" t="str">
        <f>'Por año'!K174</f>
        <v/>
      </c>
    </row>
    <row r="11">
      <c r="A11" s="61" t="str">
        <f>'Por año'!A175</f>
        <v/>
      </c>
      <c r="B11" s="61" t="str">
        <f>'Por año'!B175</f>
        <v/>
      </c>
      <c r="C11" s="20" t="str">
        <f>'Por año'!C175</f>
        <v/>
      </c>
      <c r="E11" s="61" t="str">
        <f>'Por año'!E175</f>
        <v/>
      </c>
      <c r="F11" s="61" t="str">
        <f>'Por año'!F175</f>
        <v/>
      </c>
      <c r="H11" s="21" t="str">
        <f>'Por año'!H175</f>
        <v/>
      </c>
      <c r="I11" s="61" t="str">
        <f>'Por año'!I175</f>
        <v/>
      </c>
      <c r="J11" s="61" t="str">
        <f>'Por año'!K175</f>
        <v/>
      </c>
    </row>
    <row r="12">
      <c r="A12" s="61" t="str">
        <f>'Por año'!A176</f>
        <v/>
      </c>
      <c r="B12" s="61" t="str">
        <f>'Por año'!B176</f>
        <v/>
      </c>
      <c r="C12" s="20" t="str">
        <f>'Por año'!C176</f>
        <v/>
      </c>
      <c r="E12" s="61" t="str">
        <f>'Por año'!E176</f>
        <v/>
      </c>
      <c r="F12" s="61" t="str">
        <f>'Por año'!F176</f>
        <v/>
      </c>
      <c r="H12" s="21" t="str">
        <f>'Por año'!H176</f>
        <v/>
      </c>
      <c r="I12" s="61" t="str">
        <f>'Por año'!I176</f>
        <v/>
      </c>
      <c r="J12" s="61" t="str">
        <f>'Por año'!K176</f>
        <v/>
      </c>
    </row>
    <row r="13">
      <c r="A13" s="61" t="str">
        <f>'Por año'!A177</f>
        <v/>
      </c>
      <c r="B13" s="61" t="str">
        <f>'Por año'!B177</f>
        <v/>
      </c>
      <c r="C13" s="20" t="str">
        <f>'Por año'!C177</f>
        <v/>
      </c>
      <c r="E13" s="61" t="str">
        <f>'Por año'!E177</f>
        <v/>
      </c>
      <c r="F13" s="61" t="str">
        <f>'Por año'!F177</f>
        <v/>
      </c>
      <c r="H13" s="21" t="str">
        <f>'Por año'!H177</f>
        <v/>
      </c>
      <c r="I13" s="61" t="str">
        <f>'Por año'!I177</f>
        <v/>
      </c>
      <c r="J13" s="61" t="str">
        <f>'Por año'!K177</f>
        <v/>
      </c>
    </row>
    <row r="14">
      <c r="A14" s="61" t="str">
        <f>'Por año'!A178</f>
        <v/>
      </c>
      <c r="B14" s="61" t="str">
        <f>'Por año'!B178</f>
        <v/>
      </c>
      <c r="C14" s="20" t="str">
        <f>'Por año'!C178</f>
        <v/>
      </c>
      <c r="E14" s="61" t="str">
        <f>'Por año'!E178</f>
        <v/>
      </c>
      <c r="F14" s="61" t="str">
        <f>'Por año'!F178</f>
        <v/>
      </c>
      <c r="H14" s="21" t="str">
        <f>'Por año'!H178</f>
        <v/>
      </c>
      <c r="I14" s="61" t="str">
        <f>'Por año'!I178</f>
        <v/>
      </c>
      <c r="J14" s="61" t="str">
        <f>'Por año'!K178</f>
        <v/>
      </c>
    </row>
    <row r="15">
      <c r="A15" s="61" t="str">
        <f>'Por año'!A179</f>
        <v/>
      </c>
      <c r="B15" s="61" t="str">
        <f>'Por año'!B179</f>
        <v/>
      </c>
      <c r="C15" s="20" t="str">
        <f>'Por año'!C179</f>
        <v/>
      </c>
      <c r="E15" s="61" t="str">
        <f>'Por año'!E179</f>
        <v/>
      </c>
      <c r="F15" s="61" t="str">
        <f>'Por año'!F179</f>
        <v/>
      </c>
      <c r="H15" s="21" t="str">
        <f>'Por año'!H179</f>
        <v/>
      </c>
      <c r="I15" s="61" t="str">
        <f>'Por año'!I179</f>
        <v/>
      </c>
      <c r="J15" s="61" t="str">
        <f>'Por año'!K179</f>
        <v/>
      </c>
    </row>
    <row r="16">
      <c r="A16" s="61" t="str">
        <f>'Por año'!A180</f>
        <v/>
      </c>
      <c r="B16" s="61" t="str">
        <f>'Por año'!B180</f>
        <v/>
      </c>
      <c r="C16" s="20" t="str">
        <f>'Por año'!C180</f>
        <v/>
      </c>
      <c r="E16" s="61" t="str">
        <f>'Por año'!E180</f>
        <v/>
      </c>
      <c r="F16" s="61" t="str">
        <f>'Por año'!F180</f>
        <v/>
      </c>
      <c r="H16" s="21" t="str">
        <f>'Por año'!H180</f>
        <v/>
      </c>
      <c r="I16" s="61" t="str">
        <f>'Por año'!I180</f>
        <v/>
      </c>
      <c r="J16" s="61" t="str">
        <f>'Por año'!K180</f>
        <v/>
      </c>
    </row>
    <row r="17">
      <c r="A17" s="61" t="str">
        <f>'Por año'!A181</f>
        <v/>
      </c>
      <c r="B17" s="61" t="str">
        <f>'Por año'!B181</f>
        <v/>
      </c>
      <c r="C17" s="20" t="str">
        <f>'Por año'!C181</f>
        <v/>
      </c>
      <c r="E17" s="61" t="str">
        <f>'Por año'!E181</f>
        <v/>
      </c>
      <c r="F17" s="61" t="str">
        <f>'Por año'!F181</f>
        <v/>
      </c>
      <c r="H17" s="21" t="str">
        <f>'Por año'!H181</f>
        <v/>
      </c>
      <c r="I17" s="61" t="str">
        <f>'Por año'!I181</f>
        <v/>
      </c>
      <c r="J17" s="61" t="str">
        <f>'Por año'!K181</f>
        <v/>
      </c>
    </row>
    <row r="18">
      <c r="A18" s="61" t="str">
        <f>'Por año'!A182</f>
        <v/>
      </c>
      <c r="B18" s="61" t="str">
        <f>'Por año'!B182</f>
        <v/>
      </c>
      <c r="C18" s="20" t="str">
        <f>'Por año'!C182</f>
        <v/>
      </c>
      <c r="E18" s="61" t="str">
        <f>'Por año'!E182</f>
        <v/>
      </c>
      <c r="F18" s="61" t="str">
        <f>'Por año'!F182</f>
        <v/>
      </c>
      <c r="H18" s="21" t="str">
        <f>'Por año'!H182</f>
        <v/>
      </c>
      <c r="I18" s="61" t="str">
        <f>'Por año'!I182</f>
        <v/>
      </c>
      <c r="J18" s="61" t="str">
        <f>'Por año'!K182</f>
        <v/>
      </c>
    </row>
    <row r="19">
      <c r="A19" s="61" t="str">
        <f>'Por año'!A183</f>
        <v/>
      </c>
      <c r="B19" s="61" t="str">
        <f>'Por año'!B183</f>
        <v/>
      </c>
      <c r="C19" s="20" t="str">
        <f>'Por año'!C183</f>
        <v/>
      </c>
      <c r="E19" s="61" t="str">
        <f>'Por año'!E183</f>
        <v/>
      </c>
      <c r="F19" s="61" t="str">
        <f>'Por año'!F183</f>
        <v/>
      </c>
      <c r="H19" s="21" t="str">
        <f>'Por año'!H183</f>
        <v/>
      </c>
      <c r="I19" s="61" t="str">
        <f>'Por año'!I183</f>
        <v/>
      </c>
      <c r="J19" s="61" t="str">
        <f>'Por año'!K183</f>
        <v/>
      </c>
    </row>
    <row r="20">
      <c r="A20" s="61" t="str">
        <f>'Por año'!A184</f>
        <v/>
      </c>
      <c r="B20" s="61" t="str">
        <f>'Por año'!B184</f>
        <v/>
      </c>
      <c r="C20" s="20" t="str">
        <f>'Por año'!C184</f>
        <v/>
      </c>
      <c r="E20" s="61" t="str">
        <f>'Por año'!E184</f>
        <v/>
      </c>
      <c r="F20" s="61" t="str">
        <f>'Por año'!F184</f>
        <v/>
      </c>
      <c r="H20" s="21" t="str">
        <f>'Por año'!H184</f>
        <v/>
      </c>
      <c r="I20" s="61" t="str">
        <f>'Por año'!I184</f>
        <v/>
      </c>
      <c r="J20" s="61" t="str">
        <f>'Por año'!K184</f>
        <v/>
      </c>
    </row>
    <row r="21">
      <c r="A21" s="61" t="str">
        <f>'Por año'!A185</f>
        <v/>
      </c>
      <c r="B21" s="61" t="str">
        <f>'Por año'!B185</f>
        <v/>
      </c>
      <c r="C21" s="20" t="str">
        <f>'Por año'!C185</f>
        <v/>
      </c>
      <c r="E21" s="61" t="str">
        <f>'Por año'!E185</f>
        <v/>
      </c>
      <c r="F21" s="61" t="str">
        <f>'Por año'!F185</f>
        <v/>
      </c>
      <c r="H21" s="21" t="str">
        <f>'Por año'!H185</f>
        <v/>
      </c>
      <c r="I21" s="61" t="str">
        <f>'Por año'!I185</f>
        <v/>
      </c>
      <c r="J21" s="61" t="str">
        <f>'Por año'!K185</f>
        <v/>
      </c>
    </row>
    <row r="22">
      <c r="A22" s="61" t="str">
        <f>'Por año'!A186</f>
        <v/>
      </c>
      <c r="B22" s="61" t="str">
        <f>'Por año'!B186</f>
        <v/>
      </c>
      <c r="C22" s="20" t="str">
        <f>'Por año'!C186</f>
        <v/>
      </c>
      <c r="E22" s="61" t="str">
        <f>'Por año'!E186</f>
        <v/>
      </c>
      <c r="F22" s="61" t="str">
        <f>'Por año'!F186</f>
        <v/>
      </c>
      <c r="H22" s="21" t="str">
        <f>'Por año'!H186</f>
        <v/>
      </c>
      <c r="I22" s="61" t="str">
        <f>'Por año'!I186</f>
        <v/>
      </c>
      <c r="J22" s="61" t="str">
        <f>'Por año'!K186</f>
        <v/>
      </c>
    </row>
    <row r="23">
      <c r="A23" s="61" t="str">
        <f>'Por año'!A187</f>
        <v/>
      </c>
      <c r="B23" s="61" t="str">
        <f>'Por año'!B187</f>
        <v/>
      </c>
      <c r="C23" s="20" t="str">
        <f>'Por año'!C187</f>
        <v/>
      </c>
      <c r="E23" s="61" t="str">
        <f>'Por año'!E187</f>
        <v/>
      </c>
      <c r="F23" s="61" t="str">
        <f>'Por año'!F187</f>
        <v/>
      </c>
      <c r="H23" s="21" t="str">
        <f>'Por año'!H187</f>
        <v/>
      </c>
      <c r="I23" s="61" t="str">
        <f>'Por año'!I187</f>
        <v/>
      </c>
      <c r="J23" s="61" t="str">
        <f>'Por año'!K187</f>
        <v/>
      </c>
    </row>
    <row r="24">
      <c r="A24" s="61" t="str">
        <f>'Por año'!A188</f>
        <v/>
      </c>
      <c r="B24" s="61" t="str">
        <f>'Por año'!B188</f>
        <v/>
      </c>
      <c r="C24" s="20" t="str">
        <f>'Por año'!C188</f>
        <v/>
      </c>
      <c r="E24" s="61" t="str">
        <f>'Por año'!E188</f>
        <v/>
      </c>
      <c r="F24" s="61" t="str">
        <f>'Por año'!F188</f>
        <v/>
      </c>
      <c r="H24" s="21" t="str">
        <f>'Por año'!H188</f>
        <v/>
      </c>
      <c r="I24" s="61" t="str">
        <f>'Por año'!I188</f>
        <v/>
      </c>
      <c r="J24" s="61" t="str">
        <f>'Por año'!K188</f>
        <v/>
      </c>
    </row>
    <row r="25">
      <c r="A25" s="61" t="str">
        <f>'Por año'!A189</f>
        <v/>
      </c>
      <c r="B25" s="61" t="str">
        <f>'Por año'!B189</f>
        <v/>
      </c>
      <c r="C25" s="20" t="str">
        <f>'Por año'!C189</f>
        <v/>
      </c>
      <c r="E25" s="61" t="str">
        <f>'Por año'!E189</f>
        <v/>
      </c>
      <c r="F25" s="61" t="str">
        <f>'Por año'!F189</f>
        <v/>
      </c>
      <c r="H25" s="21" t="str">
        <f>'Por año'!H189</f>
        <v/>
      </c>
      <c r="I25" s="61" t="str">
        <f>'Por año'!I189</f>
        <v/>
      </c>
      <c r="J25" s="61" t="str">
        <f>'Por año'!K189</f>
        <v/>
      </c>
    </row>
    <row r="26">
      <c r="A26" s="61" t="str">
        <f>'Por año'!A190</f>
        <v/>
      </c>
      <c r="B26" s="61" t="str">
        <f>'Por año'!B190</f>
        <v/>
      </c>
      <c r="C26" s="20" t="str">
        <f>'Por año'!C190</f>
        <v/>
      </c>
      <c r="E26" s="61" t="str">
        <f>'Por año'!E190</f>
        <v/>
      </c>
      <c r="F26" s="61" t="str">
        <f>'Por año'!F190</f>
        <v/>
      </c>
      <c r="H26" s="21" t="str">
        <f>'Por año'!H190</f>
        <v/>
      </c>
      <c r="I26" s="61" t="str">
        <f>'Por año'!I190</f>
        <v/>
      </c>
      <c r="J26" s="61" t="str">
        <f>'Por año'!K190</f>
        <v/>
      </c>
    </row>
    <row r="27">
      <c r="A27" s="61" t="str">
        <f>'Por año'!A191</f>
        <v/>
      </c>
      <c r="B27" s="61" t="str">
        <f>'Por año'!B191</f>
        <v/>
      </c>
      <c r="C27" s="20" t="str">
        <f>'Por año'!C191</f>
        <v/>
      </c>
      <c r="E27" s="61" t="str">
        <f>'Por año'!E191</f>
        <v/>
      </c>
      <c r="F27" s="61" t="str">
        <f>'Por año'!F191</f>
        <v/>
      </c>
      <c r="H27" s="21" t="str">
        <f>'Por año'!H191</f>
        <v/>
      </c>
      <c r="I27" s="61" t="str">
        <f>'Por año'!I191</f>
        <v/>
      </c>
      <c r="J27" s="61" t="str">
        <f>'Por año'!K191</f>
        <v/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8.25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año'!A14</f>
        <v>24-25</v>
      </c>
      <c r="B2" s="61" t="str">
        <f>'Por año'!B14</f>
        <v>H. Filosofía</v>
      </c>
      <c r="C2" s="20">
        <f>'Por año'!C14</f>
        <v>28</v>
      </c>
      <c r="D2" s="61" t="str">
        <f t="shared" ref="D2:D10" si="1">CONCATENATE(A2,"(",C2,")")</f>
        <v>24-25(28)</v>
      </c>
      <c r="E2" s="21">
        <f>'Por año'!E14</f>
        <v>0.75</v>
      </c>
      <c r="F2" s="61">
        <f>'Por año'!F14</f>
        <v>6.36</v>
      </c>
      <c r="G2" s="61">
        <f>'Por año'!G14</f>
        <v>7.41</v>
      </c>
      <c r="H2" s="21">
        <f>'Por año'!H14</f>
        <v>0.7621</v>
      </c>
      <c r="I2" s="61">
        <f>'Por año'!I14</f>
        <v>6.43</v>
      </c>
    </row>
    <row r="3">
      <c r="A3" s="61" t="str">
        <f>'Por año'!A33</f>
        <v>23-24</v>
      </c>
      <c r="B3" s="61" t="str">
        <f>'Por año'!B33</f>
        <v>H. Filosofía</v>
      </c>
      <c r="C3" s="20">
        <f>'Por año'!C33</f>
        <v>27</v>
      </c>
      <c r="D3" s="61" t="str">
        <f t="shared" si="1"/>
        <v>23-24(27)</v>
      </c>
      <c r="E3" s="21">
        <f>'Por año'!E33</f>
        <v>0.6923</v>
      </c>
      <c r="F3" s="61">
        <f>'Por año'!F33</f>
        <v>6.3</v>
      </c>
      <c r="G3" s="61">
        <f>'Por año'!G33</f>
        <v>7.22</v>
      </c>
      <c r="H3" s="21">
        <f>'Por año'!H33</f>
        <v>0.8201</v>
      </c>
      <c r="I3" s="61">
        <f>'Por año'!I33</f>
        <v>6.97</v>
      </c>
    </row>
    <row r="4">
      <c r="A4" s="61" t="str">
        <f>'Por año'!A52</f>
        <v>22-23</v>
      </c>
      <c r="B4" s="61" t="str">
        <f>'Por año'!B52</f>
        <v>H. Filosofía</v>
      </c>
      <c r="C4" s="20">
        <f>'Por año'!C52</f>
        <v>7</v>
      </c>
      <c r="D4" s="61" t="str">
        <f t="shared" si="1"/>
        <v>22-23(7)</v>
      </c>
      <c r="E4" s="21">
        <f>'Por año'!E52</f>
        <v>0.8571</v>
      </c>
      <c r="F4" s="61">
        <f>'Por año'!F52</f>
        <v>6.21</v>
      </c>
      <c r="G4" s="61">
        <f>'Por año'!G52</f>
        <v>7.32</v>
      </c>
      <c r="H4" s="21">
        <f>'Por año'!H52</f>
        <v>0.7893</v>
      </c>
      <c r="I4" s="61">
        <f>'Por año'!I52</f>
        <v>6.5</v>
      </c>
    </row>
    <row r="5">
      <c r="A5" s="61" t="str">
        <f>'Por año'!A71</f>
        <v>21-22</v>
      </c>
      <c r="B5" s="61" t="str">
        <f>'Por año'!B71</f>
        <v>H. Filosofía</v>
      </c>
      <c r="C5" s="20">
        <f>'Por año'!C71</f>
        <v>14</v>
      </c>
      <c r="D5" s="61" t="str">
        <f t="shared" si="1"/>
        <v>21-22(14)</v>
      </c>
      <c r="E5" s="21">
        <f>'Por año'!E71</f>
        <v>0.7143</v>
      </c>
      <c r="F5" s="61">
        <f>'Por año'!F71</f>
        <v>5.55</v>
      </c>
      <c r="G5" s="61">
        <f>'Por año'!G71</f>
        <v>6.89</v>
      </c>
      <c r="H5" s="21">
        <f>'Por año'!H71</f>
        <v>0.7975</v>
      </c>
      <c r="I5" s="61">
        <f>'Por año'!I71</f>
        <v>6.61</v>
      </c>
    </row>
    <row r="6">
      <c r="A6" s="61" t="str">
        <f>'Por año'!A90</f>
        <v>20-21</v>
      </c>
      <c r="B6" s="61" t="str">
        <f>'Por año'!B90</f>
        <v>H. Filosofía</v>
      </c>
      <c r="C6" s="20">
        <f>'Por año'!C90</f>
        <v>4</v>
      </c>
      <c r="D6" s="61" t="str">
        <f t="shared" si="1"/>
        <v>20-21(4)</v>
      </c>
      <c r="E6" s="21">
        <f>'Por año'!E90</f>
        <v>0.75</v>
      </c>
      <c r="F6" s="61">
        <f>'Por año'!F90</f>
        <v>6.38</v>
      </c>
      <c r="G6" s="61">
        <f>'Por año'!G90</f>
        <v>6.83</v>
      </c>
      <c r="H6" s="21">
        <f>'Por año'!H90</f>
        <v>0.773</v>
      </c>
      <c r="I6" s="61">
        <f>'Por año'!I90</f>
        <v>6.4</v>
      </c>
    </row>
    <row r="7">
      <c r="A7" s="61" t="str">
        <f>'Por año'!A109</f>
        <v>19-20</v>
      </c>
      <c r="B7" s="61" t="str">
        <f>'Por año'!B109</f>
        <v>H. Filosofía</v>
      </c>
      <c r="C7" s="20">
        <f>'Por año'!C109</f>
        <v>11</v>
      </c>
      <c r="D7" s="61" t="str">
        <f t="shared" si="1"/>
        <v>19-20(11)</v>
      </c>
      <c r="E7" s="21">
        <f>'Por año'!E109</f>
        <v>0.8182</v>
      </c>
      <c r="F7" s="61">
        <f>'Por año'!F109</f>
        <v>6.477</v>
      </c>
      <c r="G7" s="61">
        <f>'Por año'!G109</f>
        <v>8.5</v>
      </c>
      <c r="H7" s="21">
        <f>'Por año'!H109</f>
        <v>0.833</v>
      </c>
      <c r="I7" s="61">
        <f>'Por año'!I109</f>
        <v>6.982</v>
      </c>
    </row>
    <row r="8">
      <c r="A8" s="61" t="str">
        <f>'Por año'!A128</f>
        <v>18-19</v>
      </c>
      <c r="B8" s="61" t="str">
        <f>'Por año'!B128</f>
        <v>H. Filosofía</v>
      </c>
      <c r="C8" s="61">
        <f>'Por año'!C128</f>
        <v>10</v>
      </c>
      <c r="D8" s="61" t="str">
        <f t="shared" si="1"/>
        <v>18-19(10)</v>
      </c>
      <c r="E8" s="21">
        <f>'Por año'!E128</f>
        <v>1</v>
      </c>
      <c r="F8" s="61">
        <f>'Por año'!F128</f>
        <v>6.556</v>
      </c>
      <c r="G8" s="61">
        <f>'Por año'!G128</f>
        <v>7.14</v>
      </c>
      <c r="H8" s="21">
        <f>'Por año'!H128</f>
        <v>0.7454</v>
      </c>
      <c r="I8" s="61">
        <f>'Por año'!I128</f>
        <v>6.152</v>
      </c>
    </row>
    <row r="9">
      <c r="A9" s="61" t="str">
        <f>'Por año'!A147</f>
        <v>17-18</v>
      </c>
      <c r="B9" s="61" t="str">
        <f>'Por año'!B147</f>
        <v>H. Filosofía</v>
      </c>
      <c r="C9" s="20">
        <f>'Por año'!C147</f>
        <v>4</v>
      </c>
      <c r="D9" s="61" t="str">
        <f t="shared" si="1"/>
        <v>17-18(4)</v>
      </c>
      <c r="E9" s="21">
        <f>'Por año'!E147</f>
        <v>0</v>
      </c>
      <c r="F9" s="61">
        <f>'Por año'!F147</f>
        <v>3.312</v>
      </c>
      <c r="G9" s="61">
        <f>'Por año'!G147</f>
        <v>6.13</v>
      </c>
      <c r="H9" s="21">
        <f>'Por año'!H147</f>
        <v>0.7187</v>
      </c>
      <c r="I9" s="61">
        <f>'Por año'!I147</f>
        <v>6.093</v>
      </c>
    </row>
    <row r="10">
      <c r="A10" s="61" t="str">
        <f>'Por año'!A166</f>
        <v>16-17</v>
      </c>
      <c r="B10" s="61" t="str">
        <f>'Por año'!B166</f>
        <v>H. Filosofía</v>
      </c>
      <c r="C10" s="20">
        <f>'Por año'!C166</f>
        <v>13</v>
      </c>
      <c r="D10" s="61" t="str">
        <f t="shared" si="1"/>
        <v>16-17(13)</v>
      </c>
      <c r="E10" s="21">
        <f>'Por año'!E166</f>
        <v>0.7692</v>
      </c>
      <c r="F10" s="61">
        <f>'Por año'!F166</f>
        <v>6.423</v>
      </c>
      <c r="G10" s="61">
        <f>'Por año'!G166</f>
        <v>7.37</v>
      </c>
      <c r="H10" s="21">
        <f>'Por año'!H166</f>
        <v>0.7077</v>
      </c>
      <c r="I10" s="61">
        <f>'Por año'!I166</f>
        <v>5.97</v>
      </c>
    </row>
    <row r="11">
      <c r="J11" s="61" t="str">
        <f>'Por año'!K174</f>
        <v/>
      </c>
    </row>
    <row r="12">
      <c r="A12" s="61" t="str">
        <f>'Por año'!A175</f>
        <v/>
      </c>
      <c r="B12" s="61" t="str">
        <f>'Por año'!B175</f>
        <v/>
      </c>
      <c r="C12" s="20" t="str">
        <f>'Por año'!C175</f>
        <v/>
      </c>
      <c r="E12" s="61" t="str">
        <f>'Por año'!E175</f>
        <v/>
      </c>
      <c r="F12" s="61" t="str">
        <f>'Por año'!F175</f>
        <v/>
      </c>
      <c r="H12" s="21" t="str">
        <f>'Por año'!H175</f>
        <v/>
      </c>
      <c r="I12" s="61" t="str">
        <f>'Por año'!I175</f>
        <v/>
      </c>
      <c r="J12" s="61" t="str">
        <f>'Por año'!K175</f>
        <v/>
      </c>
    </row>
    <row r="13">
      <c r="A13" s="61" t="str">
        <f>'Por año'!A176</f>
        <v/>
      </c>
      <c r="B13" s="61" t="str">
        <f>'Por año'!B176</f>
        <v/>
      </c>
      <c r="C13" s="20" t="str">
        <f>'Por año'!C176</f>
        <v/>
      </c>
      <c r="E13" s="61" t="str">
        <f>'Por año'!E176</f>
        <v/>
      </c>
      <c r="F13" s="61" t="str">
        <f>'Por año'!F176</f>
        <v/>
      </c>
      <c r="H13" s="21" t="str">
        <f>'Por año'!H176</f>
        <v/>
      </c>
      <c r="I13" s="61" t="str">
        <f>'Por año'!I176</f>
        <v/>
      </c>
      <c r="J13" s="61" t="str">
        <f>'Por año'!K176</f>
        <v/>
      </c>
    </row>
    <row r="14">
      <c r="A14" s="61" t="str">
        <f>'Por año'!A177</f>
        <v/>
      </c>
      <c r="B14" s="61" t="str">
        <f>'Por año'!B177</f>
        <v/>
      </c>
      <c r="C14" s="20" t="str">
        <f>'Por año'!C177</f>
        <v/>
      </c>
      <c r="E14" s="61" t="str">
        <f>'Por año'!E177</f>
        <v/>
      </c>
      <c r="F14" s="61" t="str">
        <f>'Por año'!F177</f>
        <v/>
      </c>
      <c r="H14" s="21" t="str">
        <f>'Por año'!H177</f>
        <v/>
      </c>
      <c r="I14" s="61" t="str">
        <f>'Por año'!I177</f>
        <v/>
      </c>
      <c r="J14" s="61" t="str">
        <f>'Por año'!K177</f>
        <v/>
      </c>
    </row>
    <row r="15">
      <c r="A15" s="61" t="str">
        <f>'Por año'!A178</f>
        <v/>
      </c>
      <c r="B15" s="61" t="str">
        <f>'Por año'!B178</f>
        <v/>
      </c>
      <c r="C15" s="20" t="str">
        <f>'Por año'!C178</f>
        <v/>
      </c>
      <c r="E15" s="61" t="str">
        <f>'Por año'!E178</f>
        <v/>
      </c>
      <c r="F15" s="61" t="str">
        <f>'Por año'!F178</f>
        <v/>
      </c>
      <c r="H15" s="21" t="str">
        <f>'Por año'!H178</f>
        <v/>
      </c>
      <c r="I15" s="61" t="str">
        <f>'Por año'!I178</f>
        <v/>
      </c>
      <c r="J15" s="61" t="str">
        <f>'Por año'!K178</f>
        <v/>
      </c>
    </row>
    <row r="16">
      <c r="A16" s="61" t="str">
        <f>'Por año'!A179</f>
        <v/>
      </c>
      <c r="B16" s="61" t="str">
        <f>'Por año'!B179</f>
        <v/>
      </c>
      <c r="C16" s="20" t="str">
        <f>'Por año'!C179</f>
        <v/>
      </c>
      <c r="E16" s="61" t="str">
        <f>'Por año'!E179</f>
        <v/>
      </c>
      <c r="F16" s="61" t="str">
        <f>'Por año'!F179</f>
        <v/>
      </c>
      <c r="H16" s="21" t="str">
        <f>'Por año'!H179</f>
        <v/>
      </c>
      <c r="I16" s="61" t="str">
        <f>'Por año'!I179</f>
        <v/>
      </c>
      <c r="J16" s="61" t="str">
        <f>'Por año'!K179</f>
        <v/>
      </c>
    </row>
    <row r="17">
      <c r="A17" s="61" t="str">
        <f>'Por año'!A180</f>
        <v/>
      </c>
      <c r="B17" s="61" t="str">
        <f>'Por año'!B180</f>
        <v/>
      </c>
      <c r="C17" s="20" t="str">
        <f>'Por año'!C180</f>
        <v/>
      </c>
      <c r="E17" s="61" t="str">
        <f>'Por año'!E180</f>
        <v/>
      </c>
      <c r="F17" s="61" t="str">
        <f>'Por año'!F180</f>
        <v/>
      </c>
      <c r="H17" s="21" t="str">
        <f>'Por año'!H180</f>
        <v/>
      </c>
      <c r="I17" s="61" t="str">
        <f>'Por año'!I180</f>
        <v/>
      </c>
      <c r="J17" s="61" t="str">
        <f>'Por año'!K180</f>
        <v/>
      </c>
    </row>
    <row r="18">
      <c r="A18" s="61" t="str">
        <f>'Por año'!A181</f>
        <v/>
      </c>
      <c r="B18" s="61" t="str">
        <f>'Por año'!B181</f>
        <v/>
      </c>
      <c r="C18" s="20" t="str">
        <f>'Por año'!C181</f>
        <v/>
      </c>
      <c r="E18" s="61" t="str">
        <f>'Por año'!E181</f>
        <v/>
      </c>
      <c r="F18" s="61" t="str">
        <f>'Por año'!F181</f>
        <v/>
      </c>
      <c r="H18" s="21" t="str">
        <f>'Por año'!H181</f>
        <v/>
      </c>
      <c r="I18" s="61" t="str">
        <f>'Por año'!I181</f>
        <v/>
      </c>
      <c r="J18" s="61" t="str">
        <f>'Por año'!K181</f>
        <v/>
      </c>
    </row>
    <row r="19">
      <c r="A19" s="61" t="str">
        <f>'Por año'!A182</f>
        <v/>
      </c>
      <c r="B19" s="61" t="str">
        <f>'Por año'!B182</f>
        <v/>
      </c>
      <c r="C19" s="20" t="str">
        <f>'Por año'!C182</f>
        <v/>
      </c>
      <c r="E19" s="61" t="str">
        <f>'Por año'!E182</f>
        <v/>
      </c>
      <c r="F19" s="61" t="str">
        <f>'Por año'!F182</f>
        <v/>
      </c>
      <c r="H19" s="21" t="str">
        <f>'Por año'!H182</f>
        <v/>
      </c>
      <c r="I19" s="61" t="str">
        <f>'Por año'!I182</f>
        <v/>
      </c>
      <c r="J19" s="61" t="str">
        <f>'Por año'!K182</f>
        <v/>
      </c>
    </row>
    <row r="20">
      <c r="A20" s="61" t="str">
        <f>'Por año'!A183</f>
        <v/>
      </c>
      <c r="B20" s="61" t="str">
        <f>'Por año'!B183</f>
        <v/>
      </c>
      <c r="C20" s="20" t="str">
        <f>'Por año'!C183</f>
        <v/>
      </c>
      <c r="E20" s="61" t="str">
        <f>'Por año'!E183</f>
        <v/>
      </c>
      <c r="F20" s="61" t="str">
        <f>'Por año'!F183</f>
        <v/>
      </c>
      <c r="H20" s="21" t="str">
        <f>'Por año'!H183</f>
        <v/>
      </c>
      <c r="I20" s="61" t="str">
        <f>'Por año'!I183</f>
        <v/>
      </c>
      <c r="J20" s="61" t="str">
        <f>'Por año'!K183</f>
        <v/>
      </c>
    </row>
    <row r="21">
      <c r="A21" s="61" t="str">
        <f>'Por año'!A184</f>
        <v/>
      </c>
      <c r="B21" s="61" t="str">
        <f>'Por año'!B184</f>
        <v/>
      </c>
      <c r="C21" s="20" t="str">
        <f>'Por año'!C184</f>
        <v/>
      </c>
      <c r="E21" s="61" t="str">
        <f>'Por año'!E184</f>
        <v/>
      </c>
      <c r="F21" s="61" t="str">
        <f>'Por año'!F184</f>
        <v/>
      </c>
      <c r="H21" s="21" t="str">
        <f>'Por año'!H184</f>
        <v/>
      </c>
      <c r="I21" s="61" t="str">
        <f>'Por año'!I184</f>
        <v/>
      </c>
      <c r="J21" s="61" t="str">
        <f>'Por año'!K184</f>
        <v/>
      </c>
    </row>
    <row r="22">
      <c r="A22" s="61" t="str">
        <f>'Por año'!A185</f>
        <v/>
      </c>
      <c r="B22" s="61" t="str">
        <f>'Por año'!B185</f>
        <v/>
      </c>
      <c r="C22" s="20" t="str">
        <f>'Por año'!C185</f>
        <v/>
      </c>
      <c r="E22" s="61" t="str">
        <f>'Por año'!E185</f>
        <v/>
      </c>
      <c r="F22" s="61" t="str">
        <f>'Por año'!F185</f>
        <v/>
      </c>
      <c r="H22" s="21" t="str">
        <f>'Por año'!H185</f>
        <v/>
      </c>
      <c r="I22" s="61" t="str">
        <f>'Por año'!I185</f>
        <v/>
      </c>
      <c r="J22" s="61" t="str">
        <f>'Por año'!K185</f>
        <v/>
      </c>
    </row>
    <row r="23">
      <c r="A23" s="61" t="str">
        <f>'Por año'!A186</f>
        <v/>
      </c>
      <c r="B23" s="61" t="str">
        <f>'Por año'!B186</f>
        <v/>
      </c>
      <c r="C23" s="20" t="str">
        <f>'Por año'!C186</f>
        <v/>
      </c>
      <c r="E23" s="61" t="str">
        <f>'Por año'!E186</f>
        <v/>
      </c>
      <c r="F23" s="61" t="str">
        <f>'Por año'!F186</f>
        <v/>
      </c>
      <c r="H23" s="21" t="str">
        <f>'Por año'!H186</f>
        <v/>
      </c>
      <c r="I23" s="61" t="str">
        <f>'Por año'!I186</f>
        <v/>
      </c>
      <c r="J23" s="61" t="str">
        <f>'Por año'!K186</f>
        <v/>
      </c>
    </row>
    <row r="24">
      <c r="A24" s="61" t="str">
        <f>'Por año'!A187</f>
        <v/>
      </c>
      <c r="B24" s="61" t="str">
        <f>'Por año'!B187</f>
        <v/>
      </c>
      <c r="C24" s="20" t="str">
        <f>'Por año'!C187</f>
        <v/>
      </c>
      <c r="E24" s="61" t="str">
        <f>'Por año'!E187</f>
        <v/>
      </c>
      <c r="F24" s="61" t="str">
        <f>'Por año'!F187</f>
        <v/>
      </c>
      <c r="H24" s="21" t="str">
        <f>'Por año'!H187</f>
        <v/>
      </c>
      <c r="I24" s="61" t="str">
        <f>'Por año'!I187</f>
        <v/>
      </c>
      <c r="J24" s="61" t="str">
        <f>'Por año'!K187</f>
        <v/>
      </c>
    </row>
    <row r="25">
      <c r="A25" s="61" t="str">
        <f>'Por año'!A188</f>
        <v/>
      </c>
      <c r="B25" s="61" t="str">
        <f>'Por año'!B188</f>
        <v/>
      </c>
      <c r="C25" s="20" t="str">
        <f>'Por año'!C188</f>
        <v/>
      </c>
      <c r="E25" s="61" t="str">
        <f>'Por año'!E188</f>
        <v/>
      </c>
      <c r="F25" s="61" t="str">
        <f>'Por año'!F188</f>
        <v/>
      </c>
      <c r="H25" s="21" t="str">
        <f>'Por año'!H188</f>
        <v/>
      </c>
      <c r="I25" s="61" t="str">
        <f>'Por año'!I188</f>
        <v/>
      </c>
      <c r="J25" s="61" t="str">
        <f>'Por año'!K188</f>
        <v/>
      </c>
    </row>
    <row r="26">
      <c r="A26" s="61" t="str">
        <f>'Por año'!A189</f>
        <v/>
      </c>
      <c r="B26" s="61" t="str">
        <f>'Por año'!B189</f>
        <v/>
      </c>
      <c r="C26" s="20" t="str">
        <f>'Por año'!C189</f>
        <v/>
      </c>
      <c r="E26" s="61" t="str">
        <f>'Por año'!E189</f>
        <v/>
      </c>
      <c r="F26" s="61" t="str">
        <f>'Por año'!F189</f>
        <v/>
      </c>
      <c r="H26" s="21" t="str">
        <f>'Por año'!H189</f>
        <v/>
      </c>
      <c r="I26" s="61" t="str">
        <f>'Por año'!I189</f>
        <v/>
      </c>
      <c r="J26" s="61" t="str">
        <f>'Por año'!K189</f>
        <v/>
      </c>
    </row>
    <row r="27">
      <c r="A27" s="61" t="str">
        <f>'Por año'!A190</f>
        <v/>
      </c>
      <c r="B27" s="61" t="str">
        <f>'Por año'!B190</f>
        <v/>
      </c>
      <c r="C27" s="20" t="str">
        <f>'Por año'!C190</f>
        <v/>
      </c>
      <c r="E27" s="61" t="str">
        <f>'Por año'!E190</f>
        <v/>
      </c>
      <c r="F27" s="61" t="str">
        <f>'Por año'!F190</f>
        <v/>
      </c>
      <c r="H27" s="21" t="str">
        <f>'Por año'!H190</f>
        <v/>
      </c>
      <c r="I27" s="61" t="str">
        <f>'Por año'!I190</f>
        <v/>
      </c>
      <c r="J27" s="61" t="str">
        <f>'Por año'!K190</f>
        <v/>
      </c>
    </row>
    <row r="28">
      <c r="A28" s="61" t="str">
        <f>'Por año'!A191</f>
        <v/>
      </c>
      <c r="B28" s="61" t="str">
        <f>'Por año'!B191</f>
        <v/>
      </c>
      <c r="C28" s="20" t="str">
        <f>'Por año'!C191</f>
        <v/>
      </c>
      <c r="E28" s="61" t="str">
        <f>'Por año'!E191</f>
        <v/>
      </c>
      <c r="F28" s="61" t="str">
        <f>'Por año'!F191</f>
        <v/>
      </c>
      <c r="H28" s="21" t="str">
        <f>'Por año'!H191</f>
        <v/>
      </c>
      <c r="I28" s="61" t="str">
        <f>'Por año'!I191</f>
        <v/>
      </c>
      <c r="J28" s="61" t="str">
        <f>'Por año'!K191</f>
        <v/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8.25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año'!A15</f>
        <v>24-25</v>
      </c>
      <c r="B2" s="61" t="str">
        <f>'Por año'!B15</f>
        <v>H. Arte</v>
      </c>
      <c r="C2" s="20">
        <f>'Por año'!C15</f>
        <v>0</v>
      </c>
      <c r="D2" s="61" t="str">
        <f t="shared" ref="D2:D10" si="1">CONCATENATE(A2,"(",C2,")")</f>
        <v>24-25(0)</v>
      </c>
      <c r="E2" s="21" t="str">
        <f>'Por año'!E15</f>
        <v/>
      </c>
      <c r="F2" s="61" t="str">
        <f>'Por año'!F15</f>
        <v/>
      </c>
      <c r="G2" s="61" t="str">
        <f>'Por año'!G15</f>
        <v/>
      </c>
      <c r="H2" s="21">
        <f>'Por año'!H15</f>
        <v>0.6324</v>
      </c>
      <c r="I2" s="61">
        <f>'Por año'!I15</f>
        <v>5.58</v>
      </c>
    </row>
    <row r="3">
      <c r="A3" s="61" t="str">
        <f>'Por año'!A34</f>
        <v>23-24</v>
      </c>
      <c r="B3" s="61" t="str">
        <f>'Por año'!B34</f>
        <v>H. Arte</v>
      </c>
      <c r="C3" s="20">
        <f>'Por año'!C34</f>
        <v>0</v>
      </c>
      <c r="D3" s="61" t="str">
        <f t="shared" si="1"/>
        <v>23-24(0)</v>
      </c>
      <c r="E3" s="21" t="str">
        <f>'Por año'!E34</f>
        <v/>
      </c>
      <c r="F3" s="61" t="str">
        <f>'Por año'!F34</f>
        <v/>
      </c>
      <c r="G3" s="61" t="str">
        <f>'Por año'!G34</f>
        <v/>
      </c>
      <c r="H3" s="21" t="str">
        <f>'Por año'!H34</f>
        <v/>
      </c>
      <c r="I3" s="61" t="str">
        <f>'Por año'!I34</f>
        <v/>
      </c>
    </row>
    <row r="4">
      <c r="A4" s="61" t="str">
        <f>'Por año'!A53</f>
        <v>22-23</v>
      </c>
      <c r="B4" s="61" t="str">
        <f>'Por año'!B53</f>
        <v>H. Arte</v>
      </c>
      <c r="C4" s="20">
        <f>'Por año'!C53</f>
        <v>5</v>
      </c>
      <c r="D4" s="61" t="str">
        <f t="shared" si="1"/>
        <v>22-23(5)</v>
      </c>
      <c r="E4" s="21">
        <f>'Por año'!E53</f>
        <v>0.4</v>
      </c>
      <c r="F4" s="61">
        <f>'Por año'!F53</f>
        <v>4.75</v>
      </c>
      <c r="G4" s="61">
        <f>'Por año'!G53</f>
        <v>7.07</v>
      </c>
      <c r="H4" s="21">
        <f>'Por año'!H53</f>
        <v>0.6154</v>
      </c>
      <c r="I4" s="61">
        <f>'Por año'!I53</f>
        <v>5.66</v>
      </c>
    </row>
    <row r="5">
      <c r="A5" s="61" t="str">
        <f>'Por año'!A72</f>
        <v>21-22</v>
      </c>
      <c r="B5" s="61" t="str">
        <f>'Por año'!B72</f>
        <v>H. Arte</v>
      </c>
      <c r="C5" s="20">
        <f>'Por año'!C72</f>
        <v>6</v>
      </c>
      <c r="D5" s="61" t="str">
        <f t="shared" si="1"/>
        <v>21-22(6)</v>
      </c>
      <c r="E5" s="21">
        <f>'Por año'!E72</f>
        <v>0.8333</v>
      </c>
      <c r="F5" s="61">
        <f>'Por año'!F72</f>
        <v>6.79</v>
      </c>
      <c r="G5" s="61">
        <f>'Por año'!G72</f>
        <v>7</v>
      </c>
      <c r="H5" s="21">
        <f>'Por año'!H72</f>
        <v>0.7964</v>
      </c>
      <c r="I5" s="61">
        <f>'Por año'!I72</f>
        <v>6.44</v>
      </c>
    </row>
    <row r="6">
      <c r="A6" s="61" t="str">
        <f>'Por año'!A91</f>
        <v>20-21</v>
      </c>
      <c r="B6" s="61" t="str">
        <f>'Por año'!B91</f>
        <v>H. Arte</v>
      </c>
      <c r="C6" s="20">
        <f>'Por año'!C91</f>
        <v>3</v>
      </c>
      <c r="D6" s="61" t="str">
        <f t="shared" si="1"/>
        <v>20-21(3)</v>
      </c>
      <c r="E6" s="21">
        <f>'Por año'!E91</f>
        <v>1</v>
      </c>
      <c r="F6" s="61">
        <f>'Por año'!F91</f>
        <v>7.5</v>
      </c>
      <c r="G6" s="61">
        <f>'Por año'!G91</f>
        <v>7.5</v>
      </c>
      <c r="H6" s="21">
        <f>'Por año'!H91</f>
        <v>0.7485</v>
      </c>
      <c r="I6" s="61">
        <f>'Por año'!I91</f>
        <v>6.39</v>
      </c>
    </row>
    <row r="7">
      <c r="A7" s="61" t="str">
        <f>'Por año'!A110</f>
        <v>19-20</v>
      </c>
      <c r="B7" s="61" t="str">
        <f>'Por año'!B110</f>
        <v>H. Arte</v>
      </c>
      <c r="C7" s="20">
        <f>'Por año'!C110</f>
        <v>6</v>
      </c>
      <c r="D7" s="61" t="str">
        <f t="shared" si="1"/>
        <v>19-20(6)</v>
      </c>
      <c r="E7" s="21">
        <f>'Por año'!E110</f>
        <v>0.8333</v>
      </c>
      <c r="F7" s="61">
        <f>'Por año'!F110</f>
        <v>7.25</v>
      </c>
      <c r="G7" s="61">
        <f>'Por año'!G110</f>
        <v>7.63</v>
      </c>
      <c r="H7" s="21">
        <f>'Por año'!H110</f>
        <v>0.6133</v>
      </c>
      <c r="I7" s="61">
        <f>'Por año'!I110</f>
        <v>5.521</v>
      </c>
    </row>
    <row r="8">
      <c r="A8" s="61" t="str">
        <f>'Por año'!A129</f>
        <v>18-19</v>
      </c>
      <c r="B8" s="61" t="str">
        <f>'Por año'!B129</f>
        <v>H. Arte</v>
      </c>
      <c r="C8" s="61">
        <f>'Por año'!C129</f>
        <v>4</v>
      </c>
      <c r="D8" s="61" t="str">
        <f t="shared" si="1"/>
        <v>18-19(4)</v>
      </c>
      <c r="E8" s="21">
        <f>'Por año'!E129</f>
        <v>0.6667</v>
      </c>
      <c r="F8" s="61">
        <f>'Por año'!F129</f>
        <v>6.25</v>
      </c>
      <c r="G8" s="61">
        <f>'Por año'!G129</f>
        <v>6.2</v>
      </c>
      <c r="H8" s="21">
        <f>'Por año'!H129</f>
        <v>0.7649</v>
      </c>
      <c r="I8" s="61">
        <f>'Por año'!I129</f>
        <v>6.181</v>
      </c>
    </row>
    <row r="9">
      <c r="A9" s="61" t="str">
        <f>'Por año'!A148</f>
        <v>17-18</v>
      </c>
      <c r="B9" s="61" t="str">
        <f>'Por año'!B148</f>
        <v>H. Arte</v>
      </c>
      <c r="C9" s="20">
        <f>'Por año'!C148</f>
        <v>6</v>
      </c>
      <c r="D9" s="61" t="str">
        <f t="shared" si="1"/>
        <v>17-18(6)</v>
      </c>
      <c r="E9" s="21">
        <f>'Por año'!E148</f>
        <v>0.8333</v>
      </c>
      <c r="F9" s="61">
        <f>'Por año'!F148</f>
        <v>6.5</v>
      </c>
      <c r="G9" s="61">
        <f>'Por año'!G148</f>
        <v>7.13</v>
      </c>
      <c r="H9" s="21">
        <f>'Por año'!H148</f>
        <v>0.7664</v>
      </c>
      <c r="I9" s="61">
        <f>'Por año'!I148</f>
        <v>6.298</v>
      </c>
    </row>
    <row r="10">
      <c r="A10" s="61" t="str">
        <f>'Por año'!A167</f>
        <v>16-17</v>
      </c>
      <c r="B10" s="61" t="str">
        <f>'Por año'!B167</f>
        <v>H. Arte</v>
      </c>
      <c r="C10" s="20">
        <f>'Por año'!C167</f>
        <v>0</v>
      </c>
      <c r="D10" s="61" t="str">
        <f t="shared" si="1"/>
        <v>16-17(0)</v>
      </c>
      <c r="E10" s="21">
        <f>'Por año'!E167</f>
        <v>0</v>
      </c>
      <c r="F10" s="61">
        <f>'Por año'!F167</f>
        <v>0</v>
      </c>
      <c r="G10" s="61">
        <f>'Por año'!G167</f>
        <v>0</v>
      </c>
      <c r="H10" s="21">
        <f>'Por año'!H167</f>
        <v>0.7101</v>
      </c>
      <c r="I10" s="61">
        <f>'Por año'!I167</f>
        <v>5.686</v>
      </c>
    </row>
    <row r="12">
      <c r="J12" s="61" t="str">
        <f>'Por año'!K174</f>
        <v/>
      </c>
    </row>
    <row r="13">
      <c r="A13" s="61" t="str">
        <f>'Por año'!A175</f>
        <v/>
      </c>
      <c r="B13" s="61" t="str">
        <f>'Por año'!B175</f>
        <v/>
      </c>
      <c r="C13" s="20" t="str">
        <f>'Por año'!C175</f>
        <v/>
      </c>
      <c r="E13" s="61" t="str">
        <f>'Por año'!E175</f>
        <v/>
      </c>
      <c r="F13" s="61" t="str">
        <f>'Por año'!F175</f>
        <v/>
      </c>
      <c r="H13" s="21" t="str">
        <f>'Por año'!H175</f>
        <v/>
      </c>
      <c r="I13" s="61" t="str">
        <f>'Por año'!I175</f>
        <v/>
      </c>
      <c r="J13" s="61" t="str">
        <f>'Por año'!K175</f>
        <v/>
      </c>
    </row>
    <row r="14">
      <c r="A14" s="61" t="str">
        <f>'Por año'!A176</f>
        <v/>
      </c>
      <c r="B14" s="61" t="str">
        <f>'Por año'!B176</f>
        <v/>
      </c>
      <c r="C14" s="20" t="str">
        <f>'Por año'!C176</f>
        <v/>
      </c>
      <c r="E14" s="61" t="str">
        <f>'Por año'!E176</f>
        <v/>
      </c>
      <c r="F14" s="61" t="str">
        <f>'Por año'!F176</f>
        <v/>
      </c>
      <c r="H14" s="21" t="str">
        <f>'Por año'!H176</f>
        <v/>
      </c>
      <c r="I14" s="61" t="str">
        <f>'Por año'!I176</f>
        <v/>
      </c>
      <c r="J14" s="61" t="str">
        <f>'Por año'!K176</f>
        <v/>
      </c>
    </row>
    <row r="15">
      <c r="A15" s="61" t="str">
        <f>'Por año'!A177</f>
        <v/>
      </c>
      <c r="B15" s="61" t="str">
        <f>'Por año'!B177</f>
        <v/>
      </c>
      <c r="C15" s="20" t="str">
        <f>'Por año'!C177</f>
        <v/>
      </c>
      <c r="E15" s="61" t="str">
        <f>'Por año'!E177</f>
        <v/>
      </c>
      <c r="F15" s="61" t="str">
        <f>'Por año'!F177</f>
        <v/>
      </c>
      <c r="H15" s="21" t="str">
        <f>'Por año'!H177</f>
        <v/>
      </c>
      <c r="I15" s="61" t="str">
        <f>'Por año'!I177</f>
        <v/>
      </c>
      <c r="J15" s="61" t="str">
        <f>'Por año'!K177</f>
        <v/>
      </c>
    </row>
    <row r="16">
      <c r="A16" s="61" t="str">
        <f>'Por año'!A178</f>
        <v/>
      </c>
      <c r="B16" s="61" t="str">
        <f>'Por año'!B178</f>
        <v/>
      </c>
      <c r="C16" s="20" t="str">
        <f>'Por año'!C178</f>
        <v/>
      </c>
      <c r="E16" s="61" t="str">
        <f>'Por año'!E178</f>
        <v/>
      </c>
      <c r="F16" s="61" t="str">
        <f>'Por año'!F178</f>
        <v/>
      </c>
      <c r="H16" s="21" t="str">
        <f>'Por año'!H178</f>
        <v/>
      </c>
      <c r="I16" s="61" t="str">
        <f>'Por año'!I178</f>
        <v/>
      </c>
      <c r="J16" s="61" t="str">
        <f>'Por año'!K178</f>
        <v/>
      </c>
    </row>
    <row r="17">
      <c r="A17" s="61" t="str">
        <f>'Por año'!A179</f>
        <v/>
      </c>
      <c r="B17" s="61" t="str">
        <f>'Por año'!B179</f>
        <v/>
      </c>
      <c r="C17" s="20" t="str">
        <f>'Por año'!C179</f>
        <v/>
      </c>
      <c r="E17" s="61" t="str">
        <f>'Por año'!E179</f>
        <v/>
      </c>
      <c r="F17" s="61" t="str">
        <f>'Por año'!F179</f>
        <v/>
      </c>
      <c r="H17" s="21" t="str">
        <f>'Por año'!H179</f>
        <v/>
      </c>
      <c r="I17" s="61" t="str">
        <f>'Por año'!I179</f>
        <v/>
      </c>
      <c r="J17" s="61" t="str">
        <f>'Por año'!K179</f>
        <v/>
      </c>
    </row>
    <row r="18">
      <c r="A18" s="61" t="str">
        <f>'Por año'!A180</f>
        <v/>
      </c>
      <c r="B18" s="61" t="str">
        <f>'Por año'!B180</f>
        <v/>
      </c>
      <c r="C18" s="20" t="str">
        <f>'Por año'!C180</f>
        <v/>
      </c>
      <c r="E18" s="61" t="str">
        <f>'Por año'!E180</f>
        <v/>
      </c>
      <c r="F18" s="61" t="str">
        <f>'Por año'!F180</f>
        <v/>
      </c>
      <c r="H18" s="21" t="str">
        <f>'Por año'!H180</f>
        <v/>
      </c>
      <c r="I18" s="61" t="str">
        <f>'Por año'!I180</f>
        <v/>
      </c>
      <c r="J18" s="61" t="str">
        <f>'Por año'!K180</f>
        <v/>
      </c>
    </row>
    <row r="19">
      <c r="A19" s="61" t="str">
        <f>'Por año'!A181</f>
        <v/>
      </c>
      <c r="B19" s="61" t="str">
        <f>'Por año'!B181</f>
        <v/>
      </c>
      <c r="C19" s="20" t="str">
        <f>'Por año'!C181</f>
        <v/>
      </c>
      <c r="E19" s="61" t="str">
        <f>'Por año'!E181</f>
        <v/>
      </c>
      <c r="F19" s="61" t="str">
        <f>'Por año'!F181</f>
        <v/>
      </c>
      <c r="H19" s="21" t="str">
        <f>'Por año'!H181</f>
        <v/>
      </c>
      <c r="I19" s="61" t="str">
        <f>'Por año'!I181</f>
        <v/>
      </c>
      <c r="J19" s="61" t="str">
        <f>'Por año'!K181</f>
        <v/>
      </c>
    </row>
    <row r="20">
      <c r="A20" s="61" t="str">
        <f>'Por año'!A182</f>
        <v/>
      </c>
      <c r="B20" s="61" t="str">
        <f>'Por año'!B182</f>
        <v/>
      </c>
      <c r="C20" s="20" t="str">
        <f>'Por año'!C182</f>
        <v/>
      </c>
      <c r="E20" s="61" t="str">
        <f>'Por año'!E182</f>
        <v/>
      </c>
      <c r="F20" s="61" t="str">
        <f>'Por año'!F182</f>
        <v/>
      </c>
      <c r="H20" s="21" t="str">
        <f>'Por año'!H182</f>
        <v/>
      </c>
      <c r="I20" s="61" t="str">
        <f>'Por año'!I182</f>
        <v/>
      </c>
      <c r="J20" s="61" t="str">
        <f>'Por año'!K182</f>
        <v/>
      </c>
    </row>
    <row r="21">
      <c r="A21" s="61" t="str">
        <f>'Por año'!A183</f>
        <v/>
      </c>
      <c r="B21" s="61" t="str">
        <f>'Por año'!B183</f>
        <v/>
      </c>
      <c r="C21" s="20" t="str">
        <f>'Por año'!C183</f>
        <v/>
      </c>
      <c r="E21" s="61" t="str">
        <f>'Por año'!E183</f>
        <v/>
      </c>
      <c r="F21" s="61" t="str">
        <f>'Por año'!F183</f>
        <v/>
      </c>
      <c r="H21" s="21" t="str">
        <f>'Por año'!H183</f>
        <v/>
      </c>
      <c r="I21" s="61" t="str">
        <f>'Por año'!I183</f>
        <v/>
      </c>
      <c r="J21" s="61" t="str">
        <f>'Por año'!K183</f>
        <v/>
      </c>
    </row>
    <row r="22">
      <c r="A22" s="61" t="str">
        <f>'Por año'!A184</f>
        <v/>
      </c>
      <c r="B22" s="61" t="str">
        <f>'Por año'!B184</f>
        <v/>
      </c>
      <c r="C22" s="20" t="str">
        <f>'Por año'!C184</f>
        <v/>
      </c>
      <c r="E22" s="61" t="str">
        <f>'Por año'!E184</f>
        <v/>
      </c>
      <c r="F22" s="61" t="str">
        <f>'Por año'!F184</f>
        <v/>
      </c>
      <c r="H22" s="21" t="str">
        <f>'Por año'!H184</f>
        <v/>
      </c>
      <c r="I22" s="61" t="str">
        <f>'Por año'!I184</f>
        <v/>
      </c>
      <c r="J22" s="61" t="str">
        <f>'Por año'!K184</f>
        <v/>
      </c>
    </row>
    <row r="23">
      <c r="A23" s="61" t="str">
        <f>'Por año'!A185</f>
        <v/>
      </c>
      <c r="B23" s="61" t="str">
        <f>'Por año'!B185</f>
        <v/>
      </c>
      <c r="C23" s="20" t="str">
        <f>'Por año'!C185</f>
        <v/>
      </c>
      <c r="E23" s="61" t="str">
        <f>'Por año'!E185</f>
        <v/>
      </c>
      <c r="F23" s="61" t="str">
        <f>'Por año'!F185</f>
        <v/>
      </c>
      <c r="H23" s="21" t="str">
        <f>'Por año'!H185</f>
        <v/>
      </c>
      <c r="I23" s="61" t="str">
        <f>'Por año'!I185</f>
        <v/>
      </c>
      <c r="J23" s="61" t="str">
        <f>'Por año'!K185</f>
        <v/>
      </c>
    </row>
    <row r="24">
      <c r="A24" s="61" t="str">
        <f>'Por año'!A186</f>
        <v/>
      </c>
      <c r="B24" s="61" t="str">
        <f>'Por año'!B186</f>
        <v/>
      </c>
      <c r="C24" s="20" t="str">
        <f>'Por año'!C186</f>
        <v/>
      </c>
      <c r="E24" s="61" t="str">
        <f>'Por año'!E186</f>
        <v/>
      </c>
      <c r="F24" s="61" t="str">
        <f>'Por año'!F186</f>
        <v/>
      </c>
      <c r="H24" s="21" t="str">
        <f>'Por año'!H186</f>
        <v/>
      </c>
      <c r="I24" s="61" t="str">
        <f>'Por año'!I186</f>
        <v/>
      </c>
      <c r="J24" s="61" t="str">
        <f>'Por año'!K186</f>
        <v/>
      </c>
    </row>
    <row r="25">
      <c r="A25" s="61" t="str">
        <f>'Por año'!A187</f>
        <v/>
      </c>
      <c r="B25" s="61" t="str">
        <f>'Por año'!B187</f>
        <v/>
      </c>
      <c r="C25" s="20" t="str">
        <f>'Por año'!C187</f>
        <v/>
      </c>
      <c r="E25" s="61" t="str">
        <f>'Por año'!E187</f>
        <v/>
      </c>
      <c r="F25" s="61" t="str">
        <f>'Por año'!F187</f>
        <v/>
      </c>
      <c r="H25" s="21" t="str">
        <f>'Por año'!H187</f>
        <v/>
      </c>
      <c r="I25" s="61" t="str">
        <f>'Por año'!I187</f>
        <v/>
      </c>
      <c r="J25" s="61" t="str">
        <f>'Por año'!K187</f>
        <v/>
      </c>
    </row>
    <row r="26">
      <c r="A26" s="61" t="str">
        <f>'Por año'!A188</f>
        <v/>
      </c>
      <c r="B26" s="61" t="str">
        <f>'Por año'!B188</f>
        <v/>
      </c>
      <c r="C26" s="20" t="str">
        <f>'Por año'!C188</f>
        <v/>
      </c>
      <c r="E26" s="61" t="str">
        <f>'Por año'!E188</f>
        <v/>
      </c>
      <c r="F26" s="61" t="str">
        <f>'Por año'!F188</f>
        <v/>
      </c>
      <c r="H26" s="21" t="str">
        <f>'Por año'!H188</f>
        <v/>
      </c>
      <c r="I26" s="61" t="str">
        <f>'Por año'!I188</f>
        <v/>
      </c>
      <c r="J26" s="61" t="str">
        <f>'Por año'!K188</f>
        <v/>
      </c>
    </row>
    <row r="27">
      <c r="A27" s="61" t="str">
        <f>'Por año'!A189</f>
        <v/>
      </c>
      <c r="B27" s="61" t="str">
        <f>'Por año'!B189</f>
        <v/>
      </c>
      <c r="C27" s="20" t="str">
        <f>'Por año'!C189</f>
        <v/>
      </c>
      <c r="E27" s="61" t="str">
        <f>'Por año'!E189</f>
        <v/>
      </c>
      <c r="F27" s="61" t="str">
        <f>'Por año'!F189</f>
        <v/>
      </c>
      <c r="H27" s="21" t="str">
        <f>'Por año'!H189</f>
        <v/>
      </c>
      <c r="I27" s="61" t="str">
        <f>'Por año'!I189</f>
        <v/>
      </c>
      <c r="J27" s="61" t="str">
        <f>'Por año'!K189</f>
        <v/>
      </c>
    </row>
    <row r="28">
      <c r="A28" s="61" t="str">
        <f>'Por año'!A190</f>
        <v/>
      </c>
      <c r="B28" s="61" t="str">
        <f>'Por año'!B190</f>
        <v/>
      </c>
      <c r="C28" s="20" t="str">
        <f>'Por año'!C190</f>
        <v/>
      </c>
      <c r="E28" s="61" t="str">
        <f>'Por año'!E190</f>
        <v/>
      </c>
      <c r="F28" s="61" t="str">
        <f>'Por año'!F190</f>
        <v/>
      </c>
      <c r="H28" s="21" t="str">
        <f>'Por año'!H190</f>
        <v/>
      </c>
      <c r="I28" s="61" t="str">
        <f>'Por año'!I190</f>
        <v/>
      </c>
      <c r="J28" s="61" t="str">
        <f>'Por año'!K190</f>
        <v/>
      </c>
    </row>
    <row r="29">
      <c r="A29" s="61" t="str">
        <f>'Por año'!A191</f>
        <v/>
      </c>
      <c r="B29" s="61" t="str">
        <f>'Por año'!B191</f>
        <v/>
      </c>
      <c r="C29" s="20" t="str">
        <f>'Por año'!C191</f>
        <v/>
      </c>
      <c r="E29" s="61" t="str">
        <f>'Por año'!E191</f>
        <v/>
      </c>
      <c r="F29" s="61" t="str">
        <f>'Por año'!F191</f>
        <v/>
      </c>
      <c r="H29" s="21" t="str">
        <f>'Por año'!H191</f>
        <v/>
      </c>
      <c r="I29" s="61" t="str">
        <f>'Por año'!I191</f>
        <v/>
      </c>
      <c r="J29" s="61" t="str">
        <f>'Por año'!K191</f>
        <v/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8.25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año'!A16</f>
        <v>24-25</v>
      </c>
      <c r="B2" s="61" t="str">
        <f>'Por año'!B16</f>
        <v>Geografía</v>
      </c>
      <c r="C2" s="20">
        <f>'Por año'!C16</f>
        <v>2</v>
      </c>
      <c r="D2" s="61" t="str">
        <f t="shared" ref="D2:D10" si="1">CONCATENATE(A2,"(",C2,")")</f>
        <v>24-25(2)</v>
      </c>
      <c r="E2" s="21">
        <f>'Por año'!E16</f>
        <v>0.5</v>
      </c>
      <c r="F2" s="61">
        <f>'Por año'!F16</f>
        <v>4.88</v>
      </c>
      <c r="G2" s="61">
        <f>'Por año'!G16</f>
        <v>7.14</v>
      </c>
      <c r="H2" s="21">
        <f>'Por año'!H16</f>
        <v>0.745</v>
      </c>
      <c r="I2" s="61">
        <f>'Por año'!I16</f>
        <v>6.23</v>
      </c>
    </row>
    <row r="3">
      <c r="A3" s="61" t="str">
        <f>'Por año'!A35</f>
        <v>23-24</v>
      </c>
      <c r="B3" s="61" t="str">
        <f>'Por año'!B35</f>
        <v>Geografía</v>
      </c>
      <c r="C3" s="20">
        <f>'Por año'!C35</f>
        <v>1</v>
      </c>
      <c r="D3" s="61" t="str">
        <f t="shared" si="1"/>
        <v>23-24(1)</v>
      </c>
      <c r="E3" s="21">
        <f>'Por año'!E35</f>
        <v>1</v>
      </c>
      <c r="F3" s="61">
        <f>'Por año'!F35</f>
        <v>8.25</v>
      </c>
      <c r="G3" s="61">
        <f>'Por año'!G35</f>
        <v>6.44</v>
      </c>
      <c r="H3" s="21">
        <f>'Por año'!H35</f>
        <v>0.8288</v>
      </c>
      <c r="I3" s="61">
        <f>'Por año'!I35</f>
        <v>6.36</v>
      </c>
    </row>
    <row r="4">
      <c r="A4" s="61" t="str">
        <f>'Por año'!A54</f>
        <v>22-23</v>
      </c>
      <c r="B4" s="61" t="str">
        <f>'Por año'!B54</f>
        <v>Geografía</v>
      </c>
      <c r="C4" s="20">
        <f>'Por año'!C54</f>
        <v>1</v>
      </c>
      <c r="D4" s="61" t="str">
        <f t="shared" si="1"/>
        <v>22-23(1)</v>
      </c>
      <c r="E4" s="21">
        <f>'Por año'!E54</f>
        <v>1</v>
      </c>
      <c r="F4" s="61">
        <f>'Por año'!F54</f>
        <v>7.25</v>
      </c>
      <c r="G4" s="61">
        <f>'Por año'!G54</f>
        <v>8</v>
      </c>
      <c r="H4" s="21">
        <f>'Por año'!H54</f>
        <v>0.8612</v>
      </c>
      <c r="I4" s="61">
        <f>'Por año'!I54</f>
        <v>6.63</v>
      </c>
    </row>
    <row r="5">
      <c r="A5" s="61" t="str">
        <f>'Por año'!A73</f>
        <v>21-22</v>
      </c>
      <c r="B5" s="61" t="str">
        <f>'Por año'!B73</f>
        <v>Geografía</v>
      </c>
      <c r="C5" s="20">
        <f>'Por año'!C73</f>
        <v>3</v>
      </c>
      <c r="D5" s="61" t="str">
        <f t="shared" si="1"/>
        <v>21-22(3)</v>
      </c>
      <c r="E5" s="21">
        <f>'Por año'!E73</f>
        <v>0.3333</v>
      </c>
      <c r="F5" s="61">
        <f>'Por año'!F73</f>
        <v>4.33</v>
      </c>
      <c r="G5" s="61">
        <f>'Por año'!G73</f>
        <v>6.8</v>
      </c>
      <c r="H5" s="21">
        <f>'Por año'!H73</f>
        <v>0.6676</v>
      </c>
      <c r="I5" s="61">
        <f>'Por año'!I73</f>
        <v>5.69</v>
      </c>
    </row>
    <row r="6">
      <c r="A6" s="61" t="str">
        <f>'Por año'!A92</f>
        <v>20-21</v>
      </c>
      <c r="B6" s="61" t="str">
        <f>'Por año'!B92</f>
        <v>Geografía</v>
      </c>
      <c r="C6" s="20">
        <f>'Por año'!C92</f>
        <v>5</v>
      </c>
      <c r="D6" s="61" t="str">
        <f t="shared" si="1"/>
        <v>20-21(5)</v>
      </c>
      <c r="E6" s="21">
        <f>'Por año'!E92</f>
        <v>0.8</v>
      </c>
      <c r="F6" s="61">
        <f>'Por año'!F92</f>
        <v>7.15</v>
      </c>
      <c r="G6" s="61">
        <f>'Por año'!G92</f>
        <v>7.06</v>
      </c>
      <c r="H6" s="21">
        <f>'Por año'!H92</f>
        <v>0.839</v>
      </c>
      <c r="I6" s="61">
        <f>'Por año'!I92</f>
        <v>6.4</v>
      </c>
    </row>
    <row r="7">
      <c r="A7" s="61" t="str">
        <f>'Por año'!A111</f>
        <v>19-20</v>
      </c>
      <c r="B7" s="61" t="str">
        <f>'Por año'!B111</f>
        <v>Geografía</v>
      </c>
      <c r="C7" s="20">
        <f>'Por año'!C111</f>
        <v>10</v>
      </c>
      <c r="D7" s="61" t="str">
        <f t="shared" si="1"/>
        <v>19-20(10)</v>
      </c>
      <c r="E7" s="21">
        <f>'Por año'!E111</f>
        <v>0.5</v>
      </c>
      <c r="F7" s="61">
        <f>'Por año'!F111</f>
        <v>4.65</v>
      </c>
      <c r="G7" s="61">
        <f>'Por año'!G111</f>
        <v>8.33</v>
      </c>
      <c r="H7" s="21">
        <f>'Por año'!H111</f>
        <v>0.6936</v>
      </c>
      <c r="I7" s="61">
        <f>'Por año'!I111</f>
        <v>5.706</v>
      </c>
    </row>
    <row r="8">
      <c r="A8" s="61" t="str">
        <f>'Por año'!A130</f>
        <v>18-19</v>
      </c>
      <c r="B8" s="61" t="str">
        <f>'Por año'!B130</f>
        <v>Geografía</v>
      </c>
      <c r="C8" s="61">
        <f>'Por año'!C130</f>
        <v>12</v>
      </c>
      <c r="D8" s="61" t="str">
        <f t="shared" si="1"/>
        <v>18-19(12)</v>
      </c>
      <c r="E8" s="21">
        <f>'Por año'!E130</f>
        <v>0.5</v>
      </c>
      <c r="F8" s="61">
        <f>'Por año'!F130</f>
        <v>4.375</v>
      </c>
      <c r="G8" s="61">
        <f>'Por año'!G130</f>
        <v>6.33</v>
      </c>
      <c r="H8" s="21">
        <f>'Por año'!H130</f>
        <v>0.5427</v>
      </c>
      <c r="I8" s="61">
        <f>'Por año'!I130</f>
        <v>4.858</v>
      </c>
    </row>
    <row r="9">
      <c r="A9" s="61" t="str">
        <f>'Por año'!A149</f>
        <v>17-18</v>
      </c>
      <c r="B9" s="61" t="str">
        <f>'Por año'!B149</f>
        <v>Geografía</v>
      </c>
      <c r="C9" s="20">
        <f>'Por año'!C149</f>
        <v>8</v>
      </c>
      <c r="D9" s="61" t="str">
        <f t="shared" si="1"/>
        <v>17-18(8)</v>
      </c>
      <c r="E9" s="21">
        <f>'Por año'!E149</f>
        <v>0.375</v>
      </c>
      <c r="F9" s="61">
        <f>'Por año'!F149</f>
        <v>4.75</v>
      </c>
      <c r="G9" s="61">
        <f>'Por año'!G149</f>
        <v>6.94</v>
      </c>
      <c r="H9" s="21">
        <f>'Por año'!H149</f>
        <v>0.6803</v>
      </c>
      <c r="I9" s="61">
        <f>'Por año'!I149</f>
        <v>5.528</v>
      </c>
    </row>
    <row r="10">
      <c r="A10" s="61" t="str">
        <f>'Por año'!A168</f>
        <v>16-17</v>
      </c>
      <c r="B10" s="61" t="str">
        <f>'Por año'!B168</f>
        <v>Geografía</v>
      </c>
      <c r="C10" s="20">
        <f>'Por año'!C168</f>
        <v>3</v>
      </c>
      <c r="D10" s="61" t="str">
        <f t="shared" si="1"/>
        <v>16-17(3)</v>
      </c>
      <c r="E10" s="21">
        <f>'Por año'!E168</f>
        <v>0.6667</v>
      </c>
      <c r="F10" s="61">
        <f>'Por año'!F168</f>
        <v>5.583</v>
      </c>
      <c r="G10" s="61">
        <f>'Por año'!G168</f>
        <v>6.72</v>
      </c>
      <c r="H10" s="21">
        <f>'Por año'!H168</f>
        <v>0.7448</v>
      </c>
      <c r="I10" s="61">
        <f>'Por año'!I168</f>
        <v>6.016</v>
      </c>
    </row>
    <row r="14">
      <c r="J14" s="61" t="str">
        <f>'Por año'!K174</f>
        <v/>
      </c>
    </row>
    <row r="15">
      <c r="A15" s="61" t="str">
        <f>'Por año'!A175</f>
        <v/>
      </c>
      <c r="B15" s="61" t="str">
        <f>'Por año'!B175</f>
        <v/>
      </c>
      <c r="C15" s="20" t="str">
        <f>'Por año'!C175</f>
        <v/>
      </c>
      <c r="E15" s="61" t="str">
        <f>'Por año'!E175</f>
        <v/>
      </c>
      <c r="F15" s="61" t="str">
        <f>'Por año'!F175</f>
        <v/>
      </c>
      <c r="H15" s="21" t="str">
        <f>'Por año'!H175</f>
        <v/>
      </c>
      <c r="I15" s="61" t="str">
        <f>'Por año'!I175</f>
        <v/>
      </c>
      <c r="J15" s="61" t="str">
        <f>'Por año'!K175</f>
        <v/>
      </c>
    </row>
    <row r="16">
      <c r="A16" s="61" t="str">
        <f>'Por año'!A176</f>
        <v/>
      </c>
      <c r="B16" s="61" t="str">
        <f>'Por año'!B176</f>
        <v/>
      </c>
      <c r="C16" s="20" t="str">
        <f>'Por año'!C176</f>
        <v/>
      </c>
      <c r="E16" s="61" t="str">
        <f>'Por año'!E176</f>
        <v/>
      </c>
      <c r="F16" s="61" t="str">
        <f>'Por año'!F176</f>
        <v/>
      </c>
      <c r="H16" s="21" t="str">
        <f>'Por año'!H176</f>
        <v/>
      </c>
      <c r="I16" s="61" t="str">
        <f>'Por año'!I176</f>
        <v/>
      </c>
      <c r="J16" s="61" t="str">
        <f>'Por año'!K176</f>
        <v/>
      </c>
    </row>
    <row r="17">
      <c r="A17" s="61" t="str">
        <f>'Por año'!A177</f>
        <v/>
      </c>
      <c r="B17" s="61" t="str">
        <f>'Por año'!B177</f>
        <v/>
      </c>
      <c r="C17" s="20" t="str">
        <f>'Por año'!C177</f>
        <v/>
      </c>
      <c r="E17" s="61" t="str">
        <f>'Por año'!E177</f>
        <v/>
      </c>
      <c r="F17" s="61" t="str">
        <f>'Por año'!F177</f>
        <v/>
      </c>
      <c r="H17" s="21" t="str">
        <f>'Por año'!H177</f>
        <v/>
      </c>
      <c r="I17" s="61" t="str">
        <f>'Por año'!I177</f>
        <v/>
      </c>
      <c r="J17" s="61" t="str">
        <f>'Por año'!K177</f>
        <v/>
      </c>
    </row>
    <row r="18">
      <c r="A18" s="61" t="str">
        <f>'Por año'!A178</f>
        <v/>
      </c>
      <c r="B18" s="61" t="str">
        <f>'Por año'!B178</f>
        <v/>
      </c>
      <c r="C18" s="20" t="str">
        <f>'Por año'!C178</f>
        <v/>
      </c>
      <c r="E18" s="61" t="str">
        <f>'Por año'!E178</f>
        <v/>
      </c>
      <c r="F18" s="61" t="str">
        <f>'Por año'!F178</f>
        <v/>
      </c>
      <c r="H18" s="21" t="str">
        <f>'Por año'!H178</f>
        <v/>
      </c>
      <c r="I18" s="61" t="str">
        <f>'Por año'!I178</f>
        <v/>
      </c>
      <c r="J18" s="61" t="str">
        <f>'Por año'!K178</f>
        <v/>
      </c>
    </row>
    <row r="19">
      <c r="A19" s="61" t="str">
        <f>'Por año'!A179</f>
        <v/>
      </c>
      <c r="B19" s="61" t="str">
        <f>'Por año'!B179</f>
        <v/>
      </c>
      <c r="C19" s="20" t="str">
        <f>'Por año'!C179</f>
        <v/>
      </c>
      <c r="E19" s="61" t="str">
        <f>'Por año'!E179</f>
        <v/>
      </c>
      <c r="F19" s="61" t="str">
        <f>'Por año'!F179</f>
        <v/>
      </c>
      <c r="H19" s="21" t="str">
        <f>'Por año'!H179</f>
        <v/>
      </c>
      <c r="I19" s="61" t="str">
        <f>'Por año'!I179</f>
        <v/>
      </c>
      <c r="J19" s="61" t="str">
        <f>'Por año'!K179</f>
        <v/>
      </c>
    </row>
    <row r="20">
      <c r="A20" s="61" t="str">
        <f>'Por año'!A180</f>
        <v/>
      </c>
      <c r="B20" s="61" t="str">
        <f>'Por año'!B180</f>
        <v/>
      </c>
      <c r="C20" s="20" t="str">
        <f>'Por año'!C180</f>
        <v/>
      </c>
      <c r="E20" s="61" t="str">
        <f>'Por año'!E180</f>
        <v/>
      </c>
      <c r="F20" s="61" t="str">
        <f>'Por año'!F180</f>
        <v/>
      </c>
      <c r="H20" s="21" t="str">
        <f>'Por año'!H180</f>
        <v/>
      </c>
      <c r="I20" s="61" t="str">
        <f>'Por año'!I180</f>
        <v/>
      </c>
      <c r="J20" s="61" t="str">
        <f>'Por año'!K180</f>
        <v/>
      </c>
    </row>
    <row r="21">
      <c r="A21" s="61" t="str">
        <f>'Por año'!A181</f>
        <v/>
      </c>
      <c r="B21" s="61" t="str">
        <f>'Por año'!B181</f>
        <v/>
      </c>
      <c r="C21" s="20" t="str">
        <f>'Por año'!C181</f>
        <v/>
      </c>
      <c r="E21" s="61" t="str">
        <f>'Por año'!E181</f>
        <v/>
      </c>
      <c r="F21" s="61" t="str">
        <f>'Por año'!F181</f>
        <v/>
      </c>
      <c r="H21" s="21" t="str">
        <f>'Por año'!H181</f>
        <v/>
      </c>
      <c r="I21" s="61" t="str">
        <f>'Por año'!I181</f>
        <v/>
      </c>
      <c r="J21" s="61" t="str">
        <f>'Por año'!K181</f>
        <v/>
      </c>
    </row>
    <row r="22">
      <c r="A22" s="61" t="str">
        <f>'Por año'!A182</f>
        <v/>
      </c>
      <c r="B22" s="61" t="str">
        <f>'Por año'!B182</f>
        <v/>
      </c>
      <c r="C22" s="20" t="str">
        <f>'Por año'!C182</f>
        <v/>
      </c>
      <c r="E22" s="61" t="str">
        <f>'Por año'!E182</f>
        <v/>
      </c>
      <c r="F22" s="61" t="str">
        <f>'Por año'!F182</f>
        <v/>
      </c>
      <c r="H22" s="21" t="str">
        <f>'Por año'!H182</f>
        <v/>
      </c>
      <c r="I22" s="61" t="str">
        <f>'Por año'!I182</f>
        <v/>
      </c>
      <c r="J22" s="61" t="str">
        <f>'Por año'!K182</f>
        <v/>
      </c>
    </row>
    <row r="23">
      <c r="A23" s="61" t="str">
        <f>'Por año'!A183</f>
        <v/>
      </c>
      <c r="B23" s="61" t="str">
        <f>'Por año'!B183</f>
        <v/>
      </c>
      <c r="C23" s="20" t="str">
        <f>'Por año'!C183</f>
        <v/>
      </c>
      <c r="E23" s="61" t="str">
        <f>'Por año'!E183</f>
        <v/>
      </c>
      <c r="F23" s="61" t="str">
        <f>'Por año'!F183</f>
        <v/>
      </c>
      <c r="H23" s="21" t="str">
        <f>'Por año'!H183</f>
        <v/>
      </c>
      <c r="I23" s="61" t="str">
        <f>'Por año'!I183</f>
        <v/>
      </c>
      <c r="J23" s="61" t="str">
        <f>'Por año'!K183</f>
        <v/>
      </c>
    </row>
    <row r="24">
      <c r="A24" s="61" t="str">
        <f>'Por año'!A184</f>
        <v/>
      </c>
      <c r="B24" s="61" t="str">
        <f>'Por año'!B184</f>
        <v/>
      </c>
      <c r="C24" s="20" t="str">
        <f>'Por año'!C184</f>
        <v/>
      </c>
      <c r="E24" s="61" t="str">
        <f>'Por año'!E184</f>
        <v/>
      </c>
      <c r="F24" s="61" t="str">
        <f>'Por año'!F184</f>
        <v/>
      </c>
      <c r="H24" s="21" t="str">
        <f>'Por año'!H184</f>
        <v/>
      </c>
      <c r="I24" s="61" t="str">
        <f>'Por año'!I184</f>
        <v/>
      </c>
      <c r="J24" s="61" t="str">
        <f>'Por año'!K184</f>
        <v/>
      </c>
    </row>
    <row r="25">
      <c r="A25" s="61" t="str">
        <f>'Por año'!A185</f>
        <v/>
      </c>
      <c r="B25" s="61" t="str">
        <f>'Por año'!B185</f>
        <v/>
      </c>
      <c r="C25" s="20" t="str">
        <f>'Por año'!C185</f>
        <v/>
      </c>
      <c r="E25" s="61" t="str">
        <f>'Por año'!E185</f>
        <v/>
      </c>
      <c r="F25" s="61" t="str">
        <f>'Por año'!F185</f>
        <v/>
      </c>
      <c r="H25" s="21" t="str">
        <f>'Por año'!H185</f>
        <v/>
      </c>
      <c r="I25" s="61" t="str">
        <f>'Por año'!I185</f>
        <v/>
      </c>
      <c r="J25" s="61" t="str">
        <f>'Por año'!K185</f>
        <v/>
      </c>
    </row>
    <row r="26">
      <c r="A26" s="61" t="str">
        <f>'Por año'!A186</f>
        <v/>
      </c>
      <c r="B26" s="61" t="str">
        <f>'Por año'!B186</f>
        <v/>
      </c>
      <c r="C26" s="20" t="str">
        <f>'Por año'!C186</f>
        <v/>
      </c>
      <c r="E26" s="61" t="str">
        <f>'Por año'!E186</f>
        <v/>
      </c>
      <c r="F26" s="61" t="str">
        <f>'Por año'!F186</f>
        <v/>
      </c>
      <c r="H26" s="21" t="str">
        <f>'Por año'!H186</f>
        <v/>
      </c>
      <c r="I26" s="61" t="str">
        <f>'Por año'!I186</f>
        <v/>
      </c>
      <c r="J26" s="61" t="str">
        <f>'Por año'!K186</f>
        <v/>
      </c>
    </row>
    <row r="27">
      <c r="A27" s="61" t="str">
        <f>'Por año'!A187</f>
        <v/>
      </c>
      <c r="B27" s="61" t="str">
        <f>'Por año'!B187</f>
        <v/>
      </c>
      <c r="C27" s="20" t="str">
        <f>'Por año'!C187</f>
        <v/>
      </c>
      <c r="E27" s="61" t="str">
        <f>'Por año'!E187</f>
        <v/>
      </c>
      <c r="F27" s="61" t="str">
        <f>'Por año'!F187</f>
        <v/>
      </c>
      <c r="H27" s="21" t="str">
        <f>'Por año'!H187</f>
        <v/>
      </c>
      <c r="I27" s="61" t="str">
        <f>'Por año'!I187</f>
        <v/>
      </c>
      <c r="J27" s="61" t="str">
        <f>'Por año'!K187</f>
        <v/>
      </c>
    </row>
    <row r="28">
      <c r="A28" s="61" t="str">
        <f>'Por año'!A188</f>
        <v/>
      </c>
      <c r="B28" s="61" t="str">
        <f>'Por año'!B188</f>
        <v/>
      </c>
      <c r="C28" s="20" t="str">
        <f>'Por año'!C188</f>
        <v/>
      </c>
      <c r="E28" s="61" t="str">
        <f>'Por año'!E188</f>
        <v/>
      </c>
      <c r="F28" s="61" t="str">
        <f>'Por año'!F188</f>
        <v/>
      </c>
      <c r="H28" s="21" t="str">
        <f>'Por año'!H188</f>
        <v/>
      </c>
      <c r="I28" s="61" t="str">
        <f>'Por año'!I188</f>
        <v/>
      </c>
      <c r="J28" s="61" t="str">
        <f>'Por año'!K188</f>
        <v/>
      </c>
    </row>
    <row r="29">
      <c r="A29" s="61" t="str">
        <f>'Por año'!A189</f>
        <v/>
      </c>
      <c r="B29" s="61" t="str">
        <f>'Por año'!B189</f>
        <v/>
      </c>
      <c r="C29" s="20" t="str">
        <f>'Por año'!C189</f>
        <v/>
      </c>
      <c r="E29" s="61" t="str">
        <f>'Por año'!E189</f>
        <v/>
      </c>
      <c r="F29" s="61" t="str">
        <f>'Por año'!F189</f>
        <v/>
      </c>
      <c r="H29" s="21" t="str">
        <f>'Por año'!H189</f>
        <v/>
      </c>
      <c r="I29" s="61" t="str">
        <f>'Por año'!I189</f>
        <v/>
      </c>
      <c r="J29" s="61" t="str">
        <f>'Por año'!K189</f>
        <v/>
      </c>
    </row>
    <row r="30">
      <c r="A30" s="61" t="str">
        <f>'Por año'!A190</f>
        <v/>
      </c>
      <c r="B30" s="61" t="str">
        <f>'Por año'!B190</f>
        <v/>
      </c>
      <c r="C30" s="20" t="str">
        <f>'Por año'!C190</f>
        <v/>
      </c>
      <c r="E30" s="61" t="str">
        <f>'Por año'!E190</f>
        <v/>
      </c>
      <c r="F30" s="61" t="str">
        <f>'Por año'!F190</f>
        <v/>
      </c>
      <c r="H30" s="21" t="str">
        <f>'Por año'!H190</f>
        <v/>
      </c>
      <c r="I30" s="61" t="str">
        <f>'Por año'!I190</f>
        <v/>
      </c>
      <c r="J30" s="61" t="str">
        <f>'Por año'!K190</f>
        <v/>
      </c>
    </row>
    <row r="31">
      <c r="A31" s="61" t="str">
        <f>'Por año'!A191</f>
        <v/>
      </c>
      <c r="B31" s="61" t="str">
        <f>'Por año'!B191</f>
        <v/>
      </c>
      <c r="C31" s="20" t="str">
        <f>'Por año'!C191</f>
        <v/>
      </c>
      <c r="E31" s="61" t="str">
        <f>'Por año'!E191</f>
        <v/>
      </c>
      <c r="F31" s="61" t="str">
        <f>'Por año'!F191</f>
        <v/>
      </c>
      <c r="H31" s="21" t="str">
        <f>'Por año'!H191</f>
        <v/>
      </c>
      <c r="I31" s="61" t="str">
        <f>'Por año'!I191</f>
        <v/>
      </c>
      <c r="J31" s="61" t="str">
        <f>'Por año'!K191</f>
        <v/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8.25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3">
      <c r="A3" s="61" t="str">
        <f>'Por año'!A36</f>
        <v>23-24</v>
      </c>
      <c r="B3" s="61" t="str">
        <f>'Por año'!B36</f>
        <v>Francés</v>
      </c>
      <c r="C3" s="20">
        <f>'Por año'!C36</f>
        <v>0</v>
      </c>
      <c r="D3" s="61" t="str">
        <f t="shared" ref="D3:D10" si="1">CONCATENATE(A3,"(",C3,")")</f>
        <v>23-24(0)</v>
      </c>
      <c r="E3" s="21" t="str">
        <f>'Por año'!E36</f>
        <v/>
      </c>
      <c r="F3" s="61" t="str">
        <f>'Por año'!F36</f>
        <v/>
      </c>
      <c r="G3" s="61" t="str">
        <f>'Por año'!G36</f>
        <v/>
      </c>
      <c r="H3" s="21" t="str">
        <f>'Por año'!H36</f>
        <v/>
      </c>
      <c r="I3" s="61" t="str">
        <f>'Por año'!I36</f>
        <v/>
      </c>
    </row>
    <row r="4">
      <c r="A4" s="61" t="str">
        <f>'Por año'!A55</f>
        <v>22-23</v>
      </c>
      <c r="B4" s="61" t="str">
        <f>'Por año'!B55</f>
        <v>Francés</v>
      </c>
      <c r="C4" s="20">
        <f>'Por año'!C55</f>
        <v>0</v>
      </c>
      <c r="D4" s="61" t="str">
        <f t="shared" si="1"/>
        <v>22-23(0)</v>
      </c>
      <c r="E4" s="21">
        <f>'Por año'!E55</f>
        <v>0</v>
      </c>
      <c r="F4" s="61">
        <f>'Por año'!F55</f>
        <v>0</v>
      </c>
      <c r="G4" s="61">
        <f>'Por año'!G55</f>
        <v>0</v>
      </c>
      <c r="H4" s="21">
        <f>'Por año'!H55</f>
        <v>0.7802</v>
      </c>
      <c r="I4" s="61">
        <f>'Por año'!I55</f>
        <v>5.94</v>
      </c>
    </row>
    <row r="5">
      <c r="A5" s="61" t="str">
        <f>'Por año'!A74</f>
        <v>21-22</v>
      </c>
      <c r="B5" s="61" t="str">
        <f>'Por año'!B74</f>
        <v>Francés</v>
      </c>
      <c r="C5" s="20">
        <f>'Por año'!C74</f>
        <v>2</v>
      </c>
      <c r="D5" s="61" t="str">
        <f t="shared" si="1"/>
        <v>21-22(2)</v>
      </c>
      <c r="E5" s="21">
        <f>'Por año'!E74</f>
        <v>0</v>
      </c>
      <c r="F5" s="61">
        <f>'Por año'!F74</f>
        <v>4.5</v>
      </c>
      <c r="G5" s="61">
        <f>'Por año'!G74</f>
        <v>8.83</v>
      </c>
      <c r="H5" s="21">
        <f>'Por año'!H74</f>
        <v>0.7059</v>
      </c>
      <c r="I5" s="61">
        <f>'Por año'!I74</f>
        <v>6.83</v>
      </c>
    </row>
    <row r="6">
      <c r="A6" s="61" t="str">
        <f>'Por año'!A93</f>
        <v>20-21</v>
      </c>
      <c r="B6" s="61" t="str">
        <f>'Por año'!B93</f>
        <v>Francés</v>
      </c>
      <c r="C6" s="20">
        <f>'Por año'!C93</f>
        <v>1</v>
      </c>
      <c r="D6" s="61" t="str">
        <f t="shared" si="1"/>
        <v>20-21(1)</v>
      </c>
      <c r="E6" s="21">
        <f>'Por año'!E93</f>
        <v>1</v>
      </c>
      <c r="F6" s="61">
        <f>'Por año'!F93</f>
        <v>7.25</v>
      </c>
      <c r="G6" s="61">
        <f>'Por año'!G93</f>
        <v>8.25</v>
      </c>
      <c r="H6" s="21">
        <f>'Por año'!H93</f>
        <v>0.7903</v>
      </c>
      <c r="I6" s="61">
        <f>'Por año'!I93</f>
        <v>6.62</v>
      </c>
    </row>
    <row r="7">
      <c r="A7" s="61" t="str">
        <f>'Por año'!A112</f>
        <v>19-20</v>
      </c>
      <c r="B7" s="61" t="str">
        <f>'Por año'!B112</f>
        <v>Francés</v>
      </c>
      <c r="C7" s="20">
        <f>'Por año'!C112</f>
        <v>2</v>
      </c>
      <c r="D7" s="61" t="str">
        <f t="shared" si="1"/>
        <v>19-20(2)</v>
      </c>
      <c r="E7" s="21">
        <f>'Por año'!E112</f>
        <v>1</v>
      </c>
      <c r="F7" s="61">
        <f>'Por año'!F112</f>
        <v>9.625</v>
      </c>
      <c r="G7" s="61">
        <f>'Por año'!G112</f>
        <v>9.67</v>
      </c>
      <c r="H7" s="21">
        <f>'Por año'!H112</f>
        <v>0.8947</v>
      </c>
      <c r="I7" s="61">
        <f>'Por año'!I112</f>
        <v>7.222</v>
      </c>
    </row>
    <row r="8">
      <c r="A8" s="61" t="str">
        <f>'Por año'!A131</f>
        <v>18-19</v>
      </c>
      <c r="B8" s="61" t="str">
        <f>'Por año'!B131</f>
        <v>Francés</v>
      </c>
      <c r="C8" s="61">
        <f>'Por año'!C131</f>
        <v>0</v>
      </c>
      <c r="D8" s="61" t="str">
        <f t="shared" si="1"/>
        <v>18-19(0)</v>
      </c>
      <c r="E8" s="61">
        <f>'Por año'!E131</f>
        <v>0</v>
      </c>
      <c r="F8" s="61">
        <f>'Por año'!F131</f>
        <v>0</v>
      </c>
      <c r="G8" s="61">
        <f>'Por año'!G131</f>
        <v>0</v>
      </c>
      <c r="H8" s="21">
        <f>'Por año'!H131</f>
        <v>0.9043</v>
      </c>
      <c r="I8" s="61">
        <f>'Por año'!I131</f>
        <v>6.968</v>
      </c>
    </row>
    <row r="9">
      <c r="A9" s="61" t="str">
        <f>'Por año'!A150</f>
        <v>17-18</v>
      </c>
      <c r="B9" s="61" t="str">
        <f>'Por año'!B150</f>
        <v>Francés</v>
      </c>
      <c r="C9" s="20">
        <f>'Por año'!C150</f>
        <v>0</v>
      </c>
      <c r="D9" s="61" t="str">
        <f t="shared" si="1"/>
        <v>17-18(0)</v>
      </c>
      <c r="E9" s="21">
        <f>'Por año'!E150</f>
        <v>0</v>
      </c>
      <c r="F9" s="61">
        <f>'Por año'!F150</f>
        <v>0</v>
      </c>
      <c r="G9" s="61">
        <f>'Por año'!G150</f>
        <v>0</v>
      </c>
      <c r="H9" s="21">
        <f>'Por año'!H150</f>
        <v>0.9032</v>
      </c>
      <c r="I9" s="61">
        <f>'Por año'!I150</f>
        <v>7.051</v>
      </c>
    </row>
    <row r="10">
      <c r="A10" s="61" t="str">
        <f>'Por año'!A169</f>
        <v>16-17</v>
      </c>
      <c r="B10" s="61" t="str">
        <f>'Por año'!B169</f>
        <v>Francés</v>
      </c>
      <c r="C10" s="20">
        <f>'Por año'!C169</f>
        <v>0</v>
      </c>
      <c r="D10" s="61" t="str">
        <f t="shared" si="1"/>
        <v>16-17(0)</v>
      </c>
      <c r="E10" s="21">
        <f>'Por año'!E169</f>
        <v>0</v>
      </c>
      <c r="F10" s="61">
        <f>'Por año'!F169</f>
        <v>0</v>
      </c>
      <c r="G10" s="61">
        <f>'Por año'!G169</f>
        <v>0</v>
      </c>
      <c r="H10" s="21">
        <f>'Por año'!H169</f>
        <v>1</v>
      </c>
      <c r="I10" s="61">
        <f>'Por año'!I169</f>
        <v>7.353</v>
      </c>
    </row>
    <row r="16">
      <c r="J16" s="61" t="str">
        <f>'Por año'!K174</f>
        <v/>
      </c>
    </row>
    <row r="17">
      <c r="A17" s="61" t="str">
        <f>'Por año'!A175</f>
        <v/>
      </c>
      <c r="B17" s="61" t="str">
        <f>'Por año'!B175</f>
        <v/>
      </c>
      <c r="C17" s="20" t="str">
        <f>'Por año'!C175</f>
        <v/>
      </c>
      <c r="E17" s="61" t="str">
        <f>'Por año'!E175</f>
        <v/>
      </c>
      <c r="F17" s="61" t="str">
        <f>'Por año'!F175</f>
        <v/>
      </c>
      <c r="H17" s="21" t="str">
        <f>'Por año'!H175</f>
        <v/>
      </c>
      <c r="I17" s="61" t="str">
        <f>'Por año'!I175</f>
        <v/>
      </c>
      <c r="J17" s="61" t="str">
        <f>'Por año'!K175</f>
        <v/>
      </c>
    </row>
    <row r="18">
      <c r="A18" s="61" t="str">
        <f>'Por año'!A176</f>
        <v/>
      </c>
      <c r="B18" s="61" t="str">
        <f>'Por año'!B176</f>
        <v/>
      </c>
      <c r="C18" s="20" t="str">
        <f>'Por año'!C176</f>
        <v/>
      </c>
      <c r="E18" s="61" t="str">
        <f>'Por año'!E176</f>
        <v/>
      </c>
      <c r="F18" s="61" t="str">
        <f>'Por año'!F176</f>
        <v/>
      </c>
      <c r="H18" s="21" t="str">
        <f>'Por año'!H176</f>
        <v/>
      </c>
      <c r="I18" s="61" t="str">
        <f>'Por año'!I176</f>
        <v/>
      </c>
      <c r="J18" s="61" t="str">
        <f>'Por año'!K176</f>
        <v/>
      </c>
    </row>
    <row r="19">
      <c r="A19" s="61" t="str">
        <f>'Por año'!A177</f>
        <v/>
      </c>
      <c r="B19" s="61" t="str">
        <f>'Por año'!B177</f>
        <v/>
      </c>
      <c r="C19" s="20" t="str">
        <f>'Por año'!C177</f>
        <v/>
      </c>
      <c r="E19" s="61" t="str">
        <f>'Por año'!E177</f>
        <v/>
      </c>
      <c r="F19" s="61" t="str">
        <f>'Por año'!F177</f>
        <v/>
      </c>
      <c r="H19" s="21" t="str">
        <f>'Por año'!H177</f>
        <v/>
      </c>
      <c r="I19" s="61" t="str">
        <f>'Por año'!I177</f>
        <v/>
      </c>
      <c r="J19" s="61" t="str">
        <f>'Por año'!K177</f>
        <v/>
      </c>
    </row>
    <row r="20">
      <c r="A20" s="61" t="str">
        <f>'Por año'!A178</f>
        <v/>
      </c>
      <c r="B20" s="61" t="str">
        <f>'Por año'!B178</f>
        <v/>
      </c>
      <c r="C20" s="20" t="str">
        <f>'Por año'!C178</f>
        <v/>
      </c>
      <c r="E20" s="61" t="str">
        <f>'Por año'!E178</f>
        <v/>
      </c>
      <c r="F20" s="61" t="str">
        <f>'Por año'!F178</f>
        <v/>
      </c>
      <c r="H20" s="21" t="str">
        <f>'Por año'!H178</f>
        <v/>
      </c>
      <c r="I20" s="61" t="str">
        <f>'Por año'!I178</f>
        <v/>
      </c>
      <c r="J20" s="61" t="str">
        <f>'Por año'!K178</f>
        <v/>
      </c>
    </row>
    <row r="21">
      <c r="A21" s="61" t="str">
        <f>'Por año'!A179</f>
        <v/>
      </c>
      <c r="B21" s="61" t="str">
        <f>'Por año'!B179</f>
        <v/>
      </c>
      <c r="C21" s="20" t="str">
        <f>'Por año'!C179</f>
        <v/>
      </c>
      <c r="E21" s="61" t="str">
        <f>'Por año'!E179</f>
        <v/>
      </c>
      <c r="F21" s="61" t="str">
        <f>'Por año'!F179</f>
        <v/>
      </c>
      <c r="H21" s="21" t="str">
        <f>'Por año'!H179</f>
        <v/>
      </c>
      <c r="I21" s="61" t="str">
        <f>'Por año'!I179</f>
        <v/>
      </c>
      <c r="J21" s="61" t="str">
        <f>'Por año'!K179</f>
        <v/>
      </c>
    </row>
    <row r="22">
      <c r="A22" s="61" t="str">
        <f>'Por año'!A180</f>
        <v/>
      </c>
      <c r="B22" s="61" t="str">
        <f>'Por año'!B180</f>
        <v/>
      </c>
      <c r="C22" s="20" t="str">
        <f>'Por año'!C180</f>
        <v/>
      </c>
      <c r="E22" s="61" t="str">
        <f>'Por año'!E180</f>
        <v/>
      </c>
      <c r="F22" s="61" t="str">
        <f>'Por año'!F180</f>
        <v/>
      </c>
      <c r="H22" s="21" t="str">
        <f>'Por año'!H180</f>
        <v/>
      </c>
      <c r="I22" s="61" t="str">
        <f>'Por año'!I180</f>
        <v/>
      </c>
      <c r="J22" s="61" t="str">
        <f>'Por año'!K180</f>
        <v/>
      </c>
    </row>
    <row r="23">
      <c r="A23" s="61" t="str">
        <f>'Por año'!A181</f>
        <v/>
      </c>
      <c r="B23" s="61" t="str">
        <f>'Por año'!B181</f>
        <v/>
      </c>
      <c r="C23" s="20" t="str">
        <f>'Por año'!C181</f>
        <v/>
      </c>
      <c r="E23" s="61" t="str">
        <f>'Por año'!E181</f>
        <v/>
      </c>
      <c r="F23" s="61" t="str">
        <f>'Por año'!F181</f>
        <v/>
      </c>
      <c r="H23" s="21" t="str">
        <f>'Por año'!H181</f>
        <v/>
      </c>
      <c r="I23" s="61" t="str">
        <f>'Por año'!I181</f>
        <v/>
      </c>
      <c r="J23" s="61" t="str">
        <f>'Por año'!K181</f>
        <v/>
      </c>
    </row>
    <row r="24">
      <c r="A24" s="61" t="str">
        <f>'Por año'!A182</f>
        <v/>
      </c>
      <c r="B24" s="61" t="str">
        <f>'Por año'!B182</f>
        <v/>
      </c>
      <c r="C24" s="20" t="str">
        <f>'Por año'!C182</f>
        <v/>
      </c>
      <c r="E24" s="61" t="str">
        <f>'Por año'!E182</f>
        <v/>
      </c>
      <c r="F24" s="61" t="str">
        <f>'Por año'!F182</f>
        <v/>
      </c>
      <c r="H24" s="21" t="str">
        <f>'Por año'!H182</f>
        <v/>
      </c>
      <c r="I24" s="61" t="str">
        <f>'Por año'!I182</f>
        <v/>
      </c>
      <c r="J24" s="61" t="str">
        <f>'Por año'!K182</f>
        <v/>
      </c>
    </row>
    <row r="25">
      <c r="A25" s="61" t="str">
        <f>'Por año'!A183</f>
        <v/>
      </c>
      <c r="B25" s="61" t="str">
        <f>'Por año'!B183</f>
        <v/>
      </c>
      <c r="C25" s="20" t="str">
        <f>'Por año'!C183</f>
        <v/>
      </c>
      <c r="E25" s="61" t="str">
        <f>'Por año'!E183</f>
        <v/>
      </c>
      <c r="F25" s="61" t="str">
        <f>'Por año'!F183</f>
        <v/>
      </c>
      <c r="H25" s="21" t="str">
        <f>'Por año'!H183</f>
        <v/>
      </c>
      <c r="I25" s="61" t="str">
        <f>'Por año'!I183</f>
        <v/>
      </c>
      <c r="J25" s="61" t="str">
        <f>'Por año'!K183</f>
        <v/>
      </c>
    </row>
    <row r="26">
      <c r="A26" s="61" t="str">
        <f>'Por año'!A184</f>
        <v/>
      </c>
      <c r="B26" s="61" t="str">
        <f>'Por año'!B184</f>
        <v/>
      </c>
      <c r="C26" s="20" t="str">
        <f>'Por año'!C184</f>
        <v/>
      </c>
      <c r="E26" s="61" t="str">
        <f>'Por año'!E184</f>
        <v/>
      </c>
      <c r="F26" s="61" t="str">
        <f>'Por año'!F184</f>
        <v/>
      </c>
      <c r="H26" s="21" t="str">
        <f>'Por año'!H184</f>
        <v/>
      </c>
      <c r="I26" s="61" t="str">
        <f>'Por año'!I184</f>
        <v/>
      </c>
      <c r="J26" s="61" t="str">
        <f>'Por año'!K184</f>
        <v/>
      </c>
    </row>
    <row r="27">
      <c r="A27" s="61" t="str">
        <f>'Por año'!A185</f>
        <v/>
      </c>
      <c r="B27" s="61" t="str">
        <f>'Por año'!B185</f>
        <v/>
      </c>
      <c r="C27" s="20" t="str">
        <f>'Por año'!C185</f>
        <v/>
      </c>
      <c r="E27" s="61" t="str">
        <f>'Por año'!E185</f>
        <v/>
      </c>
      <c r="F27" s="61" t="str">
        <f>'Por año'!F185</f>
        <v/>
      </c>
      <c r="H27" s="21" t="str">
        <f>'Por año'!H185</f>
        <v/>
      </c>
      <c r="I27" s="61" t="str">
        <f>'Por año'!I185</f>
        <v/>
      </c>
      <c r="J27" s="61" t="str">
        <f>'Por año'!K185</f>
        <v/>
      </c>
    </row>
    <row r="28">
      <c r="A28" s="61" t="str">
        <f>'Por año'!A186</f>
        <v/>
      </c>
      <c r="B28" s="61" t="str">
        <f>'Por año'!B186</f>
        <v/>
      </c>
      <c r="C28" s="20" t="str">
        <f>'Por año'!C186</f>
        <v/>
      </c>
      <c r="E28" s="61" t="str">
        <f>'Por año'!E186</f>
        <v/>
      </c>
      <c r="F28" s="61" t="str">
        <f>'Por año'!F186</f>
        <v/>
      </c>
      <c r="H28" s="21" t="str">
        <f>'Por año'!H186</f>
        <v/>
      </c>
      <c r="I28" s="61" t="str">
        <f>'Por año'!I186</f>
        <v/>
      </c>
      <c r="J28" s="61" t="str">
        <f>'Por año'!K186</f>
        <v/>
      </c>
    </row>
    <row r="29">
      <c r="A29" s="61" t="str">
        <f>'Por año'!A187</f>
        <v/>
      </c>
      <c r="B29" s="61" t="str">
        <f>'Por año'!B187</f>
        <v/>
      </c>
      <c r="C29" s="20" t="str">
        <f>'Por año'!C187</f>
        <v/>
      </c>
      <c r="E29" s="61" t="str">
        <f>'Por año'!E187</f>
        <v/>
      </c>
      <c r="F29" s="61" t="str">
        <f>'Por año'!F187</f>
        <v/>
      </c>
      <c r="H29" s="21" t="str">
        <f>'Por año'!H187</f>
        <v/>
      </c>
      <c r="I29" s="61" t="str">
        <f>'Por año'!I187</f>
        <v/>
      </c>
      <c r="J29" s="61" t="str">
        <f>'Por año'!K187</f>
        <v/>
      </c>
    </row>
    <row r="30">
      <c r="A30" s="61" t="str">
        <f>'Por año'!A188</f>
        <v/>
      </c>
      <c r="B30" s="61" t="str">
        <f>'Por año'!B188</f>
        <v/>
      </c>
      <c r="C30" s="20" t="str">
        <f>'Por año'!C188</f>
        <v/>
      </c>
      <c r="E30" s="61" t="str">
        <f>'Por año'!E188</f>
        <v/>
      </c>
      <c r="F30" s="61" t="str">
        <f>'Por año'!F188</f>
        <v/>
      </c>
      <c r="H30" s="21" t="str">
        <f>'Por año'!H188</f>
        <v/>
      </c>
      <c r="I30" s="61" t="str">
        <f>'Por año'!I188</f>
        <v/>
      </c>
      <c r="J30" s="61" t="str">
        <f>'Por año'!K188</f>
        <v/>
      </c>
    </row>
    <row r="31">
      <c r="A31" s="61" t="str">
        <f>'Por año'!A189</f>
        <v/>
      </c>
      <c r="B31" s="61" t="str">
        <f>'Por año'!B189</f>
        <v/>
      </c>
      <c r="C31" s="20" t="str">
        <f>'Por año'!C189</f>
        <v/>
      </c>
      <c r="E31" s="61" t="str">
        <f>'Por año'!E189</f>
        <v/>
      </c>
      <c r="F31" s="61" t="str">
        <f>'Por año'!F189</f>
        <v/>
      </c>
      <c r="H31" s="21" t="str">
        <f>'Por año'!H189</f>
        <v/>
      </c>
      <c r="I31" s="61" t="str">
        <f>'Por año'!I189</f>
        <v/>
      </c>
      <c r="J31" s="61" t="str">
        <f>'Por año'!K189</f>
        <v/>
      </c>
    </row>
    <row r="32">
      <c r="A32" s="61" t="str">
        <f>'Por año'!A190</f>
        <v/>
      </c>
      <c r="B32" s="61" t="str">
        <f>'Por año'!B190</f>
        <v/>
      </c>
      <c r="C32" s="20" t="str">
        <f>'Por año'!C190</f>
        <v/>
      </c>
      <c r="E32" s="61" t="str">
        <f>'Por año'!E190</f>
        <v/>
      </c>
      <c r="F32" s="61" t="str">
        <f>'Por año'!F190</f>
        <v/>
      </c>
      <c r="H32" s="21" t="str">
        <f>'Por año'!H190</f>
        <v/>
      </c>
      <c r="I32" s="61" t="str">
        <f>'Por año'!I190</f>
        <v/>
      </c>
      <c r="J32" s="61" t="str">
        <f>'Por año'!K190</f>
        <v/>
      </c>
    </row>
    <row r="33">
      <c r="A33" s="61" t="str">
        <f>'Por año'!A191</f>
        <v/>
      </c>
      <c r="B33" s="61" t="str">
        <f>'Por año'!B191</f>
        <v/>
      </c>
      <c r="C33" s="20" t="str">
        <f>'Por año'!C191</f>
        <v/>
      </c>
      <c r="E33" s="61" t="str">
        <f>'Por año'!E191</f>
        <v/>
      </c>
      <c r="F33" s="61" t="str">
        <f>'Por año'!F191</f>
        <v/>
      </c>
      <c r="H33" s="21" t="str">
        <f>'Por año'!H191</f>
        <v/>
      </c>
      <c r="I33" s="61" t="str">
        <f>'Por año'!I191</f>
        <v/>
      </c>
      <c r="J33" s="61" t="str">
        <f>'Por año'!K191</f>
        <v/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3.0"/>
    <col customWidth="1" min="4" max="4" width="8.25"/>
    <col customWidth="1" min="5" max="5" width="6.38"/>
    <col customWidth="1" min="6" max="7" width="5.5"/>
    <col customWidth="1" min="8" max="8" width="6.63"/>
    <col customWidth="1" min="9" max="9" width="5.13"/>
  </cols>
  <sheetData>
    <row r="1">
      <c r="A1" s="61" t="str">
        <f>'Por año'!A98</f>
        <v/>
      </c>
      <c r="B1" s="61" t="str">
        <f>'Por año'!B98</f>
        <v>Materia</v>
      </c>
      <c r="C1" s="62" t="str">
        <f>'Por año'!C98</f>
        <v>Presentados</v>
      </c>
      <c r="D1" s="63"/>
      <c r="E1" s="63" t="str">
        <f>'Por año'!E98</f>
        <v>% LSG</v>
      </c>
      <c r="F1" s="63" t="str">
        <f>'Por año'!F98</f>
        <v>NM LSG EvAU</v>
      </c>
      <c r="G1" s="63" t="str">
        <f>'Por año'!G98</f>
        <v>NM LSG Cole</v>
      </c>
      <c r="H1" s="64" t="str">
        <f>'Por año'!H98</f>
        <v>% UC3M</v>
      </c>
      <c r="I1" s="63" t="str">
        <f>'Por año'!I98</f>
        <v>NM UC3M</v>
      </c>
      <c r="J1" s="61" t="str">
        <f>'Por año'!K98</f>
        <v/>
      </c>
    </row>
    <row r="2">
      <c r="A2" s="61" t="str">
        <f>'Por año'!A17</f>
        <v>24-25</v>
      </c>
      <c r="B2" s="61" t="str">
        <f>'Por año'!B17</f>
        <v>Tecno e Ing</v>
      </c>
      <c r="C2" s="20">
        <f>'Por año'!C17</f>
        <v>0</v>
      </c>
      <c r="D2" s="61" t="str">
        <f>CONCATENATE(A2,"(",C2,")")</f>
        <v>24-25(0)</v>
      </c>
      <c r="E2" s="21" t="str">
        <f>'Por año'!E17</f>
        <v/>
      </c>
      <c r="F2" s="61" t="str">
        <f>'Por año'!F17</f>
        <v/>
      </c>
      <c r="G2" s="61">
        <f>'Por año'!G17</f>
        <v>7.73</v>
      </c>
      <c r="H2" s="21">
        <f>'Por año'!H17</f>
        <v>0.7068</v>
      </c>
      <c r="I2" s="61">
        <f>'Por año'!I17</f>
        <v>6.107</v>
      </c>
    </row>
    <row r="16">
      <c r="J16" s="61" t="str">
        <f>'Por año'!K174</f>
        <v/>
      </c>
    </row>
    <row r="17">
      <c r="A17" s="61" t="str">
        <f>'Por año'!A175</f>
        <v/>
      </c>
      <c r="B17" s="61" t="str">
        <f>'Por año'!B175</f>
        <v/>
      </c>
      <c r="C17" s="20" t="str">
        <f>'Por año'!C175</f>
        <v/>
      </c>
      <c r="E17" s="61" t="str">
        <f>'Por año'!E175</f>
        <v/>
      </c>
      <c r="F17" s="61" t="str">
        <f>'Por año'!F175</f>
        <v/>
      </c>
      <c r="H17" s="21" t="str">
        <f>'Por año'!H175</f>
        <v/>
      </c>
      <c r="I17" s="61" t="str">
        <f>'Por año'!I175</f>
        <v/>
      </c>
      <c r="J17" s="61" t="str">
        <f>'Por año'!K175</f>
        <v/>
      </c>
    </row>
    <row r="18">
      <c r="A18" s="61" t="str">
        <f>'Por año'!A176</f>
        <v/>
      </c>
      <c r="B18" s="61" t="str">
        <f>'Por año'!B176</f>
        <v/>
      </c>
      <c r="C18" s="20" t="str">
        <f>'Por año'!C176</f>
        <v/>
      </c>
      <c r="E18" s="61" t="str">
        <f>'Por año'!E176</f>
        <v/>
      </c>
      <c r="F18" s="61" t="str">
        <f>'Por año'!F176</f>
        <v/>
      </c>
      <c r="H18" s="21" t="str">
        <f>'Por año'!H176</f>
        <v/>
      </c>
      <c r="I18" s="61" t="str">
        <f>'Por año'!I176</f>
        <v/>
      </c>
      <c r="J18" s="61" t="str">
        <f>'Por año'!K176</f>
        <v/>
      </c>
    </row>
    <row r="19">
      <c r="A19" s="61" t="str">
        <f>'Por año'!A177</f>
        <v/>
      </c>
      <c r="B19" s="61" t="str">
        <f>'Por año'!B177</f>
        <v/>
      </c>
      <c r="C19" s="20" t="str">
        <f>'Por año'!C177</f>
        <v/>
      </c>
      <c r="E19" s="61" t="str">
        <f>'Por año'!E177</f>
        <v/>
      </c>
      <c r="F19" s="61" t="str">
        <f>'Por año'!F177</f>
        <v/>
      </c>
      <c r="H19" s="21" t="str">
        <f>'Por año'!H177</f>
        <v/>
      </c>
      <c r="I19" s="61" t="str">
        <f>'Por año'!I177</f>
        <v/>
      </c>
      <c r="J19" s="61" t="str">
        <f>'Por año'!K177</f>
        <v/>
      </c>
    </row>
    <row r="20">
      <c r="A20" s="61" t="str">
        <f>'Por año'!A178</f>
        <v/>
      </c>
      <c r="B20" s="61" t="str">
        <f>'Por año'!B178</f>
        <v/>
      </c>
      <c r="C20" s="20" t="str">
        <f>'Por año'!C178</f>
        <v/>
      </c>
      <c r="E20" s="61" t="str">
        <f>'Por año'!E178</f>
        <v/>
      </c>
      <c r="F20" s="61" t="str">
        <f>'Por año'!F178</f>
        <v/>
      </c>
      <c r="H20" s="21" t="str">
        <f>'Por año'!H178</f>
        <v/>
      </c>
      <c r="I20" s="61" t="str">
        <f>'Por año'!I178</f>
        <v/>
      </c>
      <c r="J20" s="61" t="str">
        <f>'Por año'!K178</f>
        <v/>
      </c>
    </row>
    <row r="21">
      <c r="A21" s="61" t="str">
        <f>'Por año'!A179</f>
        <v/>
      </c>
      <c r="B21" s="61" t="str">
        <f>'Por año'!B179</f>
        <v/>
      </c>
      <c r="C21" s="20" t="str">
        <f>'Por año'!C179</f>
        <v/>
      </c>
      <c r="E21" s="61" t="str">
        <f>'Por año'!E179</f>
        <v/>
      </c>
      <c r="F21" s="61" t="str">
        <f>'Por año'!F179</f>
        <v/>
      </c>
      <c r="H21" s="21" t="str">
        <f>'Por año'!H179</f>
        <v/>
      </c>
      <c r="I21" s="61" t="str">
        <f>'Por año'!I179</f>
        <v/>
      </c>
      <c r="J21" s="61" t="str">
        <f>'Por año'!K179</f>
        <v/>
      </c>
    </row>
    <row r="22">
      <c r="A22" s="61" t="str">
        <f>'Por año'!A180</f>
        <v/>
      </c>
      <c r="B22" s="61" t="str">
        <f>'Por año'!B180</f>
        <v/>
      </c>
      <c r="C22" s="20" t="str">
        <f>'Por año'!C180</f>
        <v/>
      </c>
      <c r="E22" s="61" t="str">
        <f>'Por año'!E180</f>
        <v/>
      </c>
      <c r="F22" s="61" t="str">
        <f>'Por año'!F180</f>
        <v/>
      </c>
      <c r="H22" s="21" t="str">
        <f>'Por año'!H180</f>
        <v/>
      </c>
      <c r="I22" s="61" t="str">
        <f>'Por año'!I180</f>
        <v/>
      </c>
      <c r="J22" s="61" t="str">
        <f>'Por año'!K180</f>
        <v/>
      </c>
    </row>
    <row r="23">
      <c r="A23" s="61" t="str">
        <f>'Por año'!A181</f>
        <v/>
      </c>
      <c r="B23" s="61" t="str">
        <f>'Por año'!B181</f>
        <v/>
      </c>
      <c r="C23" s="20" t="str">
        <f>'Por año'!C181</f>
        <v/>
      </c>
      <c r="E23" s="61" t="str">
        <f>'Por año'!E181</f>
        <v/>
      </c>
      <c r="F23" s="61" t="str">
        <f>'Por año'!F181</f>
        <v/>
      </c>
      <c r="H23" s="21" t="str">
        <f>'Por año'!H181</f>
        <v/>
      </c>
      <c r="I23" s="61" t="str">
        <f>'Por año'!I181</f>
        <v/>
      </c>
      <c r="J23" s="61" t="str">
        <f>'Por año'!K181</f>
        <v/>
      </c>
    </row>
    <row r="24">
      <c r="A24" s="61" t="str">
        <f>'Por año'!A182</f>
        <v/>
      </c>
      <c r="B24" s="61" t="str">
        <f>'Por año'!B182</f>
        <v/>
      </c>
      <c r="C24" s="20" t="str">
        <f>'Por año'!C182</f>
        <v/>
      </c>
      <c r="E24" s="61" t="str">
        <f>'Por año'!E182</f>
        <v/>
      </c>
      <c r="F24" s="61" t="str">
        <f>'Por año'!F182</f>
        <v/>
      </c>
      <c r="H24" s="21" t="str">
        <f>'Por año'!H182</f>
        <v/>
      </c>
      <c r="I24" s="61" t="str">
        <f>'Por año'!I182</f>
        <v/>
      </c>
      <c r="J24" s="61" t="str">
        <f>'Por año'!K182</f>
        <v/>
      </c>
    </row>
    <row r="25">
      <c r="A25" s="61" t="str">
        <f>'Por año'!A183</f>
        <v/>
      </c>
      <c r="B25" s="61" t="str">
        <f>'Por año'!B183</f>
        <v/>
      </c>
      <c r="C25" s="20" t="str">
        <f>'Por año'!C183</f>
        <v/>
      </c>
      <c r="E25" s="61" t="str">
        <f>'Por año'!E183</f>
        <v/>
      </c>
      <c r="F25" s="61" t="str">
        <f>'Por año'!F183</f>
        <v/>
      </c>
      <c r="H25" s="21" t="str">
        <f>'Por año'!H183</f>
        <v/>
      </c>
      <c r="I25" s="61" t="str">
        <f>'Por año'!I183</f>
        <v/>
      </c>
      <c r="J25" s="61" t="str">
        <f>'Por año'!K183</f>
        <v/>
      </c>
    </row>
    <row r="26">
      <c r="A26" s="61" t="str">
        <f>'Por año'!A184</f>
        <v/>
      </c>
      <c r="B26" s="61" t="str">
        <f>'Por año'!B184</f>
        <v/>
      </c>
      <c r="C26" s="20" t="str">
        <f>'Por año'!C184</f>
        <v/>
      </c>
      <c r="E26" s="61" t="str">
        <f>'Por año'!E184</f>
        <v/>
      </c>
      <c r="F26" s="61" t="str">
        <f>'Por año'!F184</f>
        <v/>
      </c>
      <c r="H26" s="21" t="str">
        <f>'Por año'!H184</f>
        <v/>
      </c>
      <c r="I26" s="61" t="str">
        <f>'Por año'!I184</f>
        <v/>
      </c>
      <c r="J26" s="61" t="str">
        <f>'Por año'!K184</f>
        <v/>
      </c>
    </row>
    <row r="27">
      <c r="A27" s="61" t="str">
        <f>'Por año'!A185</f>
        <v/>
      </c>
      <c r="B27" s="61" t="str">
        <f>'Por año'!B185</f>
        <v/>
      </c>
      <c r="C27" s="20" t="str">
        <f>'Por año'!C185</f>
        <v/>
      </c>
      <c r="E27" s="61" t="str">
        <f>'Por año'!E185</f>
        <v/>
      </c>
      <c r="F27" s="61" t="str">
        <f>'Por año'!F185</f>
        <v/>
      </c>
      <c r="H27" s="21" t="str">
        <f>'Por año'!H185</f>
        <v/>
      </c>
      <c r="I27" s="61" t="str">
        <f>'Por año'!I185</f>
        <v/>
      </c>
      <c r="J27" s="61" t="str">
        <f>'Por año'!K185</f>
        <v/>
      </c>
    </row>
    <row r="28">
      <c r="A28" s="61" t="str">
        <f>'Por año'!A186</f>
        <v/>
      </c>
      <c r="B28" s="61" t="str">
        <f>'Por año'!B186</f>
        <v/>
      </c>
      <c r="C28" s="20" t="str">
        <f>'Por año'!C186</f>
        <v/>
      </c>
      <c r="E28" s="61" t="str">
        <f>'Por año'!E186</f>
        <v/>
      </c>
      <c r="F28" s="61" t="str">
        <f>'Por año'!F186</f>
        <v/>
      </c>
      <c r="H28" s="21" t="str">
        <f>'Por año'!H186</f>
        <v/>
      </c>
      <c r="I28" s="61" t="str">
        <f>'Por año'!I186</f>
        <v/>
      </c>
      <c r="J28" s="61" t="str">
        <f>'Por año'!K186</f>
        <v/>
      </c>
    </row>
    <row r="29">
      <c r="A29" s="61" t="str">
        <f>'Por año'!A187</f>
        <v/>
      </c>
      <c r="B29" s="61" t="str">
        <f>'Por año'!B187</f>
        <v/>
      </c>
      <c r="C29" s="20" t="str">
        <f>'Por año'!C187</f>
        <v/>
      </c>
      <c r="E29" s="61" t="str">
        <f>'Por año'!E187</f>
        <v/>
      </c>
      <c r="F29" s="61" t="str">
        <f>'Por año'!F187</f>
        <v/>
      </c>
      <c r="H29" s="21" t="str">
        <f>'Por año'!H187</f>
        <v/>
      </c>
      <c r="I29" s="61" t="str">
        <f>'Por año'!I187</f>
        <v/>
      </c>
      <c r="J29" s="61" t="str">
        <f>'Por año'!K187</f>
        <v/>
      </c>
    </row>
    <row r="30">
      <c r="A30" s="61" t="str">
        <f>'Por año'!A188</f>
        <v/>
      </c>
      <c r="B30" s="61" t="str">
        <f>'Por año'!B188</f>
        <v/>
      </c>
      <c r="C30" s="20" t="str">
        <f>'Por año'!C188</f>
        <v/>
      </c>
      <c r="E30" s="61" t="str">
        <f>'Por año'!E188</f>
        <v/>
      </c>
      <c r="F30" s="61" t="str">
        <f>'Por año'!F188</f>
        <v/>
      </c>
      <c r="H30" s="21" t="str">
        <f>'Por año'!H188</f>
        <v/>
      </c>
      <c r="I30" s="61" t="str">
        <f>'Por año'!I188</f>
        <v/>
      </c>
      <c r="J30" s="61" t="str">
        <f>'Por año'!K188</f>
        <v/>
      </c>
    </row>
    <row r="31">
      <c r="A31" s="61" t="str">
        <f>'Por año'!A189</f>
        <v/>
      </c>
      <c r="B31" s="61" t="str">
        <f>'Por año'!B189</f>
        <v/>
      </c>
      <c r="C31" s="20" t="str">
        <f>'Por año'!C189</f>
        <v/>
      </c>
      <c r="E31" s="61" t="str">
        <f>'Por año'!E189</f>
        <v/>
      </c>
      <c r="F31" s="61" t="str">
        <f>'Por año'!F189</f>
        <v/>
      </c>
      <c r="H31" s="21" t="str">
        <f>'Por año'!H189</f>
        <v/>
      </c>
      <c r="I31" s="61" t="str">
        <f>'Por año'!I189</f>
        <v/>
      </c>
      <c r="J31" s="61" t="str">
        <f>'Por año'!K189</f>
        <v/>
      </c>
    </row>
    <row r="32">
      <c r="A32" s="61" t="str">
        <f>'Por año'!A190</f>
        <v/>
      </c>
      <c r="B32" s="61" t="str">
        <f>'Por año'!B190</f>
        <v/>
      </c>
      <c r="C32" s="20" t="str">
        <f>'Por año'!C190</f>
        <v/>
      </c>
      <c r="E32" s="61" t="str">
        <f>'Por año'!E190</f>
        <v/>
      </c>
      <c r="F32" s="61" t="str">
        <f>'Por año'!F190</f>
        <v/>
      </c>
      <c r="H32" s="21" t="str">
        <f>'Por año'!H190</f>
        <v/>
      </c>
      <c r="I32" s="61" t="str">
        <f>'Por año'!I190</f>
        <v/>
      </c>
      <c r="J32" s="61" t="str">
        <f>'Por año'!K190</f>
        <v/>
      </c>
    </row>
    <row r="33">
      <c r="A33" s="61" t="str">
        <f>'Por año'!A191</f>
        <v/>
      </c>
      <c r="B33" s="61" t="str">
        <f>'Por año'!B191</f>
        <v/>
      </c>
      <c r="C33" s="20" t="str">
        <f>'Por año'!C191</f>
        <v/>
      </c>
      <c r="E33" s="61" t="str">
        <f>'Por año'!E191</f>
        <v/>
      </c>
      <c r="F33" s="61" t="str">
        <f>'Por año'!F191</f>
        <v/>
      </c>
      <c r="H33" s="21" t="str">
        <f>'Por año'!H191</f>
        <v/>
      </c>
      <c r="I33" s="61" t="str">
        <f>'Por año'!I191</f>
        <v/>
      </c>
      <c r="J33" s="61" t="str">
        <f>'Por año'!K191</f>
        <v/>
      </c>
    </row>
  </sheetData>
  <drawing r:id="rId1"/>
</worksheet>
</file>